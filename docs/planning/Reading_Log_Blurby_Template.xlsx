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aa9f6fdefc3e470/Projects/Blurby/docs/project/"/>
    </mc:Choice>
  </mc:AlternateContent>
  <xr:revisionPtr revIDLastSave="0" documentId="8_{61F3D4CA-9A43-4E31-8973-9B156BBEDBD6}" xr6:coauthVersionLast="47" xr6:coauthVersionMax="47" xr10:uidLastSave="{00000000-0000-0000-0000-000000000000}"/>
  <bookViews>
    <workbookView xWindow="-120" yWindow="-120" windowWidth="25440" windowHeight="15270" tabRatio="500" activeTab="1" xr2:uid="{00000000-000D-0000-FFFF-FFFF00000000}"/>
  </bookViews>
  <sheets>
    <sheet name="Reading Log" sheetId="1" r:id="rId1"/>
    <sheet name="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8" i="2" l="1"/>
  <c r="J18" i="2"/>
  <c r="H18" i="2" a="1"/>
  <c r="H18" i="2"/>
  <c r="F18" i="2"/>
  <c r="D18" i="2" a="1"/>
  <c r="D18" i="2" s="1"/>
  <c r="B18" i="2"/>
  <c r="L15" i="2"/>
  <c r="J15" i="2"/>
  <c r="H15" i="2"/>
  <c r="F15" i="2"/>
  <c r="D15" i="2"/>
  <c r="B15" i="2"/>
  <c r="M31" i="2"/>
  <c r="L31" i="2"/>
  <c r="K31" i="2"/>
  <c r="J31" i="2"/>
  <c r="I31" i="2"/>
  <c r="H31" i="2"/>
  <c r="G31" i="2"/>
  <c r="F31" i="2"/>
  <c r="E31" i="2"/>
  <c r="D31" i="2"/>
  <c r="C31" i="2"/>
  <c r="B31" i="2"/>
  <c r="F34" i="2" a="1"/>
  <c r="F34" i="2" s="1"/>
  <c r="D34" i="2" a="1"/>
  <c r="D34" i="2" s="1"/>
  <c r="B34" i="2" a="1"/>
  <c r="B34" i="2" s="1"/>
  <c r="L37" i="2"/>
  <c r="J37" i="2"/>
  <c r="H37" i="2"/>
  <c r="F37" i="2"/>
  <c r="D37" i="2"/>
  <c r="B37" i="2"/>
  <c r="L34" i="2"/>
  <c r="J34" i="2"/>
  <c r="H34" i="2"/>
  <c r="L22" i="2"/>
  <c r="J22" i="2"/>
  <c r="M7" i="1"/>
  <c r="M8" i="1"/>
  <c r="M9" i="1"/>
  <c r="H8" i="2" s="1"/>
  <c r="M10" i="1"/>
  <c r="M11" i="1"/>
  <c r="M12" i="1"/>
  <c r="M13" i="1"/>
  <c r="M14" i="1"/>
  <c r="D26" i="2" a="1"/>
  <c r="D26" i="2" s="1"/>
  <c r="B26" i="2"/>
  <c r="A8" i="1"/>
  <c r="A9" i="1" s="1"/>
  <c r="A10" i="1" s="1"/>
  <c r="A11" i="1" s="1"/>
  <c r="A12" i="1" s="1"/>
  <c r="A13" i="1" s="1"/>
  <c r="A14" i="1" s="1"/>
  <c r="J46" i="2"/>
  <c r="H46" i="2"/>
  <c r="F46" i="2"/>
  <c r="D46" i="2"/>
  <c r="B46" i="2"/>
  <c r="L41" i="2"/>
  <c r="J41" i="2"/>
  <c r="H41" i="2"/>
  <c r="F41" i="2" a="1"/>
  <c r="F41" i="2" s="1"/>
  <c r="D41" i="2"/>
  <c r="B41" i="2"/>
  <c r="L26" i="2"/>
  <c r="J26" i="2"/>
  <c r="H26" i="2"/>
  <c r="F26" i="2" a="1"/>
  <c r="F26" i="2" s="1"/>
  <c r="H22" i="2"/>
  <c r="F22" i="2"/>
  <c r="D22" i="2"/>
  <c r="B22" i="2"/>
  <c r="J11" i="2"/>
  <c r="L8" i="2"/>
  <c r="D8" i="2"/>
  <c r="B8" i="2"/>
  <c r="P14" i="1"/>
  <c r="P13" i="1"/>
  <c r="P12" i="1"/>
  <c r="P11" i="1"/>
  <c r="P10" i="1"/>
  <c r="P9" i="1"/>
  <c r="P8" i="1"/>
  <c r="P7" i="1"/>
  <c r="L11" i="2" l="1" a="1"/>
  <c r="L11" i="2" s="1"/>
  <c r="F8" i="2"/>
  <c r="D11" i="2" a="1"/>
  <c r="D11" i="2" s="1"/>
  <c r="B11" i="2"/>
  <c r="H11" i="2" a="1"/>
  <c r="H11" i="2" s="1"/>
  <c r="J8" i="2"/>
  <c r="F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<sst xmlns="http://schemas.openxmlformats.org/spreadsheetml/2006/main" count="181" uniqueCount="157">
  <si>
    <t>Reading Log.</t>
  </si>
  <si>
    <t>Chronicle every work. Track your reading life across time, type, and format.</t>
  </si>
  <si>
    <t>#</t>
  </si>
  <si>
    <t>Title</t>
  </si>
  <si>
    <t>Pub. Year</t>
  </si>
  <si>
    <t>Publisher / Source</t>
  </si>
  <si>
    <t>Edition / Vol.</t>
  </si>
  <si>
    <t>DOI / URL</t>
  </si>
  <si>
    <t>Work Type</t>
  </si>
  <si>
    <t>Format</t>
  </si>
  <si>
    <t>Pages</t>
  </si>
  <si>
    <t>Date Started</t>
  </si>
  <si>
    <t>Date Finished</t>
  </si>
  <si>
    <t>Days to Complete</t>
  </si>
  <si>
    <t>Completed?</t>
  </si>
  <si>
    <t>Rating (1–5)</t>
  </si>
  <si>
    <t>Notes / Key Takeaway</t>
  </si>
  <si>
    <t>The Intelligent Investor</t>
  </si>
  <si>
    <t>Harper Business</t>
  </si>
  <si>
    <t>Rev. Ed.</t>
  </si>
  <si>
    <t>Book</t>
  </si>
  <si>
    <t>Print</t>
  </si>
  <si>
    <t>Timeless value investing framework</t>
  </si>
  <si>
    <t>Thinking, Fast and Slow</t>
  </si>
  <si>
    <t>Farrar, Straus and Giroux</t>
  </si>
  <si>
    <t>1st Ed.</t>
  </si>
  <si>
    <t>System 1 vs System 2 cognition</t>
  </si>
  <si>
    <t>The Fifth Discipline</t>
  </si>
  <si>
    <t>Doubleday</t>
  </si>
  <si>
    <t>Systems thinking in organizations</t>
  </si>
  <si>
    <t>Atomic Habits</t>
  </si>
  <si>
    <t>Avery</t>
  </si>
  <si>
    <t>Habit stacking, 1% improvement</t>
  </si>
  <si>
    <t>Capital in the 21st Century</t>
  </si>
  <si>
    <t>Belknap Press</t>
  </si>
  <si>
    <t>Dense but important on wealth inequality</t>
  </si>
  <si>
    <t>Sustainability &amp; the CFO</t>
  </si>
  <si>
    <t>Journal of Cleaner Prod.</t>
  </si>
  <si>
    <t>Vol. 412</t>
  </si>
  <si>
    <t>10.1016/jjclepro.2024</t>
  </si>
  <si>
    <t>CFO integration of ESG metrics</t>
  </si>
  <si>
    <t>Good to Great</t>
  </si>
  <si>
    <t>HarperBusiness</t>
  </si>
  <si>
    <t>Level 5 leadership, hedgehog concept</t>
  </si>
  <si>
    <t>Meditations</t>
  </si>
  <si>
    <t>Penguin Classics</t>
  </si>
  <si>
    <t>Trans. Ed.</t>
  </si>
  <si>
    <t>Stoic philosophy for daily life</t>
  </si>
  <si>
    <t>Dashboard.</t>
  </si>
  <si>
    <t>Aggregated reading KPIs — auto-calculated from the Reading Log tab.</t>
  </si>
  <si>
    <t>Volume &amp; Pace</t>
  </si>
  <si>
    <t>Total Works Read</t>
  </si>
  <si>
    <t>Works Read YTD</t>
  </si>
  <si>
    <t>Total Pages Read</t>
  </si>
  <si>
    <t>Avg Pages / Day</t>
  </si>
  <si>
    <t>Avg Days / Book</t>
  </si>
  <si>
    <t>Books / Month</t>
  </si>
  <si>
    <t>Longest Read (Days)</t>
  </si>
  <si>
    <t>Quickest Read (Days)</t>
  </si>
  <si>
    <t>Books / Year</t>
  </si>
  <si>
    <t>Pages Read YTD</t>
  </si>
  <si>
    <t>Completion &amp; Commitment</t>
  </si>
  <si>
    <t>Completion Rate</t>
  </si>
  <si>
    <t>Abandonment Rate</t>
  </si>
  <si>
    <t>Total DNFs</t>
  </si>
  <si>
    <t>Avg % Read on DNF</t>
  </si>
  <si>
    <t>DNF: Books</t>
  </si>
  <si>
    <t>DNF: Articles</t>
  </si>
  <si>
    <t>Temporal Patterns</t>
  </si>
  <si>
    <t>Oldest Work (Pub Year)</t>
  </si>
  <si>
    <t>Newest Work (Pub Year)</t>
  </si>
  <si>
    <t>Reading Since</t>
  </si>
  <si>
    <t>Reading Span (Months)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</si>
  <si>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</si>
  <si>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</si>
  <si>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</si>
  <si>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</si>
  <si>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</si>
  <si>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</si>
  <si>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</si>
  <si>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</si>
  <si>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</si>
  <si>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</si>
  <si>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</si>
  <si>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</si>
  <si>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Diversity &amp; Breadth</t>
  </si>
  <si>
    <t>Unique Authors</t>
  </si>
  <si>
    <t>Most-Read Author Count</t>
  </si>
  <si>
    <t>Repeat Author Rate</t>
  </si>
  <si>
    <t>Books</t>
  </si>
  <si>
    <t>Print %</t>
  </si>
  <si>
    <t>Quality &amp; Preference</t>
  </si>
  <si>
    <t>Avg Rating (1–5)</t>
  </si>
  <si>
    <t>Highest Rating</t>
  </si>
  <si>
    <t>Lowest Rating</t>
  </si>
  <si>
    <t>5-Star Reads</t>
  </si>
  <si>
    <t>Below 3-Star</t>
  </si>
  <si>
    <t>Avg Rating (Completed)</t>
  </si>
  <si>
    <t>Rating Distribution</t>
  </si>
  <si>
    <t>★ 1</t>
  </si>
  <si>
    <t>★ 2</t>
  </si>
  <si>
    <t>★ 3</t>
  </si>
  <si>
    <t>★ 4</t>
  </si>
  <si>
    <t>★ 5</t>
  </si>
  <si>
    <t>Blurby. — Fast · Friendly · Focused</t>
  </si>
  <si>
    <t>% Read</t>
  </si>
  <si>
    <t>N</t>
  </si>
  <si>
    <t>Y</t>
  </si>
  <si>
    <t>Median Publication Year</t>
  </si>
  <si>
    <t>Median Publication Lag (Yrs)</t>
  </si>
  <si>
    <t>Pages Read</t>
  </si>
  <si>
    <t>Most Pages Read</t>
  </si>
  <si>
    <t>Fewest Pages Read</t>
  </si>
  <si>
    <t>Article</t>
  </si>
  <si>
    <t>Digital</t>
  </si>
  <si>
    <t>Audio</t>
  </si>
  <si>
    <t>Articles</t>
  </si>
  <si>
    <t>PDFs / Other</t>
  </si>
  <si>
    <t>Digital %</t>
  </si>
  <si>
    <t>Audio %</t>
  </si>
  <si>
    <t>Lead Author Last Name</t>
  </si>
  <si>
    <t>Lead Author First Name</t>
  </si>
  <si>
    <t>Other Authors</t>
  </si>
  <si>
    <t>Graham</t>
  </si>
  <si>
    <t>Kahneman</t>
  </si>
  <si>
    <t>Senge</t>
  </si>
  <si>
    <t>Clear</t>
  </si>
  <si>
    <t>Piketty</t>
  </si>
  <si>
    <t>Adams</t>
  </si>
  <si>
    <t>Collins</t>
  </si>
  <si>
    <t>Aurelius</t>
  </si>
  <si>
    <t>Benjamin</t>
  </si>
  <si>
    <t>Daniel</t>
  </si>
  <si>
    <t>Peter M.</t>
  </si>
  <si>
    <t>James</t>
  </si>
  <si>
    <t>Thomas</t>
  </si>
  <si>
    <t>Carol A.</t>
  </si>
  <si>
    <t>Jim</t>
  </si>
  <si>
    <t>Marcus</t>
  </si>
  <si>
    <t>Monthly Reading Volume</t>
  </si>
  <si>
    <t>Sessions</t>
  </si>
  <si>
    <t>Total Time (min)</t>
  </si>
  <si>
    <t>Avg WPM</t>
  </si>
  <si>
    <t>Total Sessions</t>
  </si>
  <si>
    <t>Avg Sessions / Book</t>
  </si>
  <si>
    <t>Total Reading Time (hrs)</t>
  </si>
  <si>
    <t>Avg Time / Session (min)</t>
  </si>
  <si>
    <t>Weighted Avg WPM</t>
  </si>
  <si>
    <t>Completed Time (hrs)</t>
  </si>
  <si>
    <t>Most Sessions (Single Work)</t>
  </si>
  <si>
    <t>Fewest Sessions</t>
  </si>
  <si>
    <t>Fastest WPM</t>
  </si>
  <si>
    <t>Slowest WPM</t>
  </si>
  <si>
    <t>Avg Time / Book (min)</t>
  </si>
  <si>
    <t>Longest Read Time (hrs)</t>
  </si>
  <si>
    <t>Pages &amp; Duration</t>
  </si>
  <si>
    <t>Sessions &amp;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</si>
</sst>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"/>
    <numFmt numFmtId="165" formatCode="0.0"/>
    <numFmt numFmtId="166" formatCode="0.0%"/>
    <numFmt numFmtId="167" formatCode="mmm\ yyyy"/>
  </numFmts>
  <fonts count="19" x14ac:knownFonts="1">
    <font>
      <sz val="11"/>
      <color theme="1"/>
      <name val="Calibri"/>
      <family val="2"/>
      <charset val="1"/>
    </font>
    <font>
      <sz val="10"/>
      <name val="Arial"/>
    </font>
    <font>
      <b/>
      <sz val="28"/>
      <color rgb="FF0B1A3A"/>
      <name val="Calibri"/>
      <charset val="1"/>
    </font>
    <font>
      <sz val="14"/>
      <color rgb="FF4A8BFB"/>
      <name val="Calibri"/>
      <charset val="1"/>
    </font>
    <font>
      <b/>
      <sz val="11"/>
      <color rgb="FFFFFFFF"/>
      <name val="Calibri"/>
      <charset val="1"/>
    </font>
    <font>
      <sz val="11"/>
      <color rgb="FF9BA4B5"/>
      <name val="Calibri"/>
      <charset val="1"/>
    </font>
    <font>
      <sz val="11"/>
      <color rgb="FF0B1A3A"/>
      <name val="Calibri"/>
      <charset val="1"/>
    </font>
    <font>
      <b/>
      <sz val="16"/>
      <color rgb="FF2E73FF"/>
      <name val="Calibri"/>
      <charset val="1"/>
    </font>
    <font>
      <b/>
      <sz val="22"/>
      <color rgb="FF2E73FF"/>
      <name val="Calibri"/>
      <charset val="1"/>
    </font>
    <font>
      <sz val="10"/>
      <color rgb="FF9BA4B5"/>
      <name val="Calibri"/>
      <charset val="1"/>
    </font>
    <font>
      <b/>
      <sz val="22"/>
      <color rgb="FFE63946"/>
      <name val="Calibri"/>
      <charset val="1"/>
    </font>
    <font>
      <b/>
      <sz val="12"/>
      <color rgb="FF0B1A3A"/>
      <name val="Calibri"/>
      <charset val="1"/>
    </font>
    <font>
      <b/>
      <sz val="10"/>
      <color rgb="FFFFFFFF"/>
      <name val="Calibri"/>
      <charset val="1"/>
    </font>
    <font>
      <b/>
      <sz val="14"/>
      <color rgb="FF0B1A3A"/>
      <name val="Calibri"/>
      <charset val="1"/>
    </font>
    <font>
      <sz val="9"/>
      <color rgb="FF9BA4B5"/>
      <name val="Calibri"/>
      <charset val="1"/>
    </font>
    <font>
      <sz val="8"/>
      <name val="Calibri"/>
      <family val="2"/>
      <charset val="1"/>
    </font>
    <font>
      <b/>
      <sz val="12"/>
      <color rgb="FF2E73FF"/>
      <name val="Calibri"/>
      <charset val="1"/>
    </font>
    <font>
      <b/>
      <sz val="11"/>
      <color rgb="FF4A8BFB"/>
      <name val="Calibri"/>
      <charset val="1"/>
    </font>
    <font>
      <b/>
      <sz val="11"/>
      <color rgb="FF4A8BFB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4F6FA"/>
        <bgColor rgb="FFFFFFFF"/>
      </patternFill>
    </fill>
    <fill>
      <patternFill patternType="solid">
        <fgColor rgb="FF2E73FF"/>
        <bgColor rgb="FF4A8BFB"/>
      </patternFill>
    </fill>
    <fill>
      <patternFill patternType="solid">
        <fgColor rgb="FF0B1A3A"/>
        <bgColor rgb="FF1A2A50"/>
      </patternFill>
    </fill>
    <fill>
      <patternFill patternType="solid">
        <fgColor rgb="FFFFFFFF"/>
        <bgColor rgb="FFF4F6FA"/>
      </patternFill>
    </fill>
    <fill>
      <patternFill patternType="solid">
        <fgColor rgb="FF4A8BFB"/>
        <bgColor rgb="FF2E73FF"/>
      </patternFill>
    </fill>
    <fill>
      <patternFill patternType="solid">
        <fgColor rgb="FFF4F6FA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E63946"/>
      </bottom>
      <diagonal/>
    </border>
    <border>
      <left/>
      <right/>
      <top/>
      <bottom style="thin">
        <color rgb="FFCAE4FE"/>
      </bottom>
      <diagonal/>
    </border>
    <border>
      <left/>
      <right/>
      <top/>
      <bottom style="medium">
        <color rgb="FF2E73FF"/>
      </bottom>
      <diagonal/>
    </border>
    <border>
      <left style="thin">
        <color rgb="FFE8ECF2"/>
      </left>
      <right style="thin">
        <color rgb="FFE8ECF2"/>
      </right>
      <top style="thin">
        <color rgb="FFE8ECF2"/>
      </top>
      <bottom/>
      <diagonal/>
    </border>
    <border>
      <left style="thin">
        <color rgb="FFE8ECF2"/>
      </left>
      <right style="thin">
        <color rgb="FFE8ECF2"/>
      </right>
      <top/>
      <bottom style="thin">
        <color rgb="FFE8ECF2"/>
      </bottom>
      <diagonal/>
    </border>
    <border>
      <left style="thin">
        <color rgb="FFD0D5E0"/>
      </left>
      <right style="thin">
        <color rgb="FFD0D5E0"/>
      </right>
      <top style="thin">
        <color rgb="FFD0D5E0"/>
      </top>
      <bottom style="thin">
        <color rgb="FFD0D5E0"/>
      </bottom>
      <diagonal/>
    </border>
    <border>
      <left style="thin">
        <color rgb="FFD0D5E0"/>
      </left>
      <right/>
      <top style="thin">
        <color rgb="FFD0D5E0"/>
      </top>
      <bottom style="thin">
        <color rgb="FFD0D5E0"/>
      </bottom>
      <diagonal/>
    </border>
    <border>
      <left style="thin">
        <color rgb="FF1A2A50"/>
      </left>
      <right style="thin">
        <color rgb="FF1A2A50"/>
      </right>
      <top/>
      <bottom style="thin">
        <color rgb="FF1A2A50"/>
      </bottom>
      <diagonal/>
    </border>
    <border>
      <left/>
      <right style="thin">
        <color rgb="FFE8ECF2"/>
      </right>
      <top/>
      <bottom style="thin">
        <color rgb="FFE8ECF2"/>
      </bottom>
      <diagonal/>
    </border>
    <border>
      <left/>
      <right/>
      <top style="thin">
        <color rgb="FFE8ECF2"/>
      </top>
      <bottom/>
      <diagonal/>
    </border>
    <border>
      <left/>
      <right style="thin">
        <color rgb="FFE8ECF2"/>
      </right>
      <top style="thin">
        <color rgb="FFE8ECF2"/>
      </top>
      <bottom/>
      <diagonal/>
    </border>
    <border>
      <left/>
      <right style="thin">
        <color rgb="FFE8ECF2"/>
      </right>
      <top/>
      <bottom/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47"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/>
    </xf>
    <xf numFmtId="167" fontId="8" fillId="5" borderId="4" xfId="0" applyNumberFormat="1" applyFont="1" applyFill="1" applyBorder="1" applyAlignment="1">
      <alignment horizontal="center"/>
    </xf>
    <xf numFmtId="9" fontId="8" fillId="5" borderId="4" xfId="0" applyNumberFormat="1" applyFont="1" applyFill="1" applyBorder="1" applyAlignment="1">
      <alignment horizontal="center"/>
    </xf>
    <xf numFmtId="1" fontId="10" fillId="5" borderId="4" xfId="0" applyNumberFormat="1" applyFont="1" applyFill="1" applyBorder="1" applyAlignment="1">
      <alignment horizontal="center"/>
    </xf>
    <xf numFmtId="166" fontId="10" fillId="5" borderId="4" xfId="0" applyNumberFormat="1" applyFont="1" applyFill="1" applyBorder="1" applyAlignment="1">
      <alignment horizontal="center"/>
    </xf>
    <xf numFmtId="166" fontId="8" fillId="5" borderId="4" xfId="0" applyNumberFormat="1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 vertical="top"/>
    </xf>
    <xf numFmtId="165" fontId="8" fillId="5" borderId="4" xfId="0" applyNumberFormat="1" applyFont="1" applyFill="1" applyBorder="1" applyAlignment="1">
      <alignment horizontal="center"/>
    </xf>
    <xf numFmtId="3" fontId="8" fillId="5" borderId="4" xfId="0" applyNumberFormat="1" applyFont="1" applyFill="1" applyBorder="1" applyAlignment="1">
      <alignment horizontal="center"/>
    </xf>
    <xf numFmtId="1" fontId="8" fillId="5" borderId="4" xfId="0" applyNumberFormat="1" applyFont="1" applyFill="1" applyBorder="1" applyAlignment="1">
      <alignment horizontal="center"/>
    </xf>
    <xf numFmtId="0" fontId="7" fillId="2" borderId="3" xfId="0" applyFont="1" applyFill="1" applyBorder="1" applyAlignment="1">
      <alignment horizontal="left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6" fillId="5" borderId="2" xfId="0" applyNumberFormat="1" applyFont="1" applyFill="1" applyBorder="1" applyAlignment="1">
      <alignment horizontal="center" vertical="center" wrapText="1"/>
    </xf>
    <xf numFmtId="9" fontId="6" fillId="5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1" fontId="13" fillId="5" borderId="6" xfId="0" applyNumberFormat="1" applyFont="1" applyFill="1" applyBorder="1" applyAlignment="1">
      <alignment horizontal="center" vertical="center" wrapText="1"/>
    </xf>
    <xf numFmtId="1" fontId="13" fillId="5" borderId="7" xfId="0" applyNumberFormat="1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3" fontId="6" fillId="5" borderId="2" xfId="0" applyNumberFormat="1" applyFont="1" applyFill="1" applyBorder="1" applyAlignment="1">
      <alignment horizontal="center" vertical="center" wrapText="1"/>
    </xf>
    <xf numFmtId="3" fontId="6" fillId="2" borderId="2" xfId="0" applyNumberFormat="1" applyFont="1" applyFill="1" applyBorder="1" applyAlignment="1">
      <alignment horizontal="center" vertical="center" wrapText="1"/>
    </xf>
    <xf numFmtId="43" fontId="1" fillId="0" borderId="2" xfId="1" applyBorder="1" applyAlignment="1">
      <alignment horizontal="center" vertical="center" wrapText="1"/>
    </xf>
    <xf numFmtId="49" fontId="6" fillId="5" borderId="2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center" vertical="center" wrapText="1"/>
    </xf>
    <xf numFmtId="1" fontId="16" fillId="7" borderId="0" xfId="0" applyNumberFormat="1" applyFont="1" applyFill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top"/>
    </xf>
    <xf numFmtId="3" fontId="8" fillId="5" borderId="11" xfId="0" applyNumberFormat="1" applyFont="1" applyFill="1" applyBorder="1" applyAlignment="1">
      <alignment horizontal="center"/>
    </xf>
    <xf numFmtId="1" fontId="8" fillId="5" borderId="11" xfId="0" applyNumberFormat="1" applyFont="1" applyFill="1" applyBorder="1" applyAlignment="1">
      <alignment horizontal="center"/>
    </xf>
    <xf numFmtId="0" fontId="17" fillId="7" borderId="0" xfId="0" applyFont="1" applyFill="1" applyBorder="1" applyAlignment="1">
      <alignment horizontal="left"/>
    </xf>
    <xf numFmtId="0" fontId="0" fillId="7" borderId="0" xfId="0" applyFill="1"/>
    <xf numFmtId="0" fontId="18" fillId="7" borderId="10" xfId="0" applyFont="1" applyFill="1" applyBorder="1" applyAlignment="1">
      <alignment horizontal="left"/>
    </xf>
    <xf numFmtId="0" fontId="18" fillId="7" borderId="10" xfId="0" applyFont="1" applyFill="1" applyBorder="1"/>
    <xf numFmtId="0" fontId="0" fillId="7" borderId="12" xfId="0" applyFill="1" applyBorder="1"/>
  </cellXfs>
  <cellStyles count="2">
    <cellStyle name="Comma" xfId="1" builtinId="3"/>
    <cellStyle name="Normal" xfId="0" builtinId="0"/>
  </cellStyles>
  <dxfs count="28">
    <dxf>
      <font>
        <b/>
        <sz val="11"/>
        <color rgb="FFE63946"/>
        <name val="Calibri"/>
        <charset val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B1A3A"/>
        <name val="Calibri"/>
        <charset val="1"/>
        <scheme val="none"/>
      </font>
      <fill>
        <patternFill patternType="solid">
          <fgColor rgb="FFFFFFFF"/>
          <bgColor rgb="FFF4F6FA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rgb="FFCA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B1A3A"/>
        <name val="Calibri"/>
        <charset val="1"/>
        <scheme val="none"/>
      </font>
      <fill>
        <patternFill patternType="solid">
          <fgColor rgb="FFFFFFFF"/>
          <bgColor rgb="FFF4F6FA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rgb="FFCA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B1A3A"/>
        <name val="Calibri"/>
        <charset val="1"/>
        <scheme val="none"/>
      </font>
      <fill>
        <patternFill patternType="solid">
          <fgColor rgb="FFFFFFFF"/>
          <bgColor rgb="FFF4F6FA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rgb="FFCA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B1A3A"/>
        <name val="Calibri"/>
        <charset val="1"/>
        <scheme val="none"/>
      </font>
      <fill>
        <patternFill patternType="solid">
          <fgColor rgb="FFFFFFFF"/>
          <bgColor rgb="FFF4F6FA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rgb="FFCA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B1A3A"/>
        <name val="Calibri"/>
        <charset val="1"/>
        <scheme val="none"/>
      </font>
      <fill>
        <patternFill patternType="solid">
          <fgColor rgb="FFFFFFFF"/>
          <bgColor rgb="FFF4F6FA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rgb="FFCAE4FE"/>
        </bottom>
        <vertical/>
        <horizontal/>
      </border>
    </dxf>
    <dxf>
      <font>
        <color rgb="FF0B1A3A"/>
      </font>
      <numFmt numFmtId="30" formatCode="@"/>
      <fill>
        <patternFill patternType="solid">
          <fgColor rgb="FFF4F6FA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CAE4FE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CAE4FE"/>
        </bottom>
      </border>
    </dxf>
    <dxf>
      <font>
        <color rgb="FF0B1A3A"/>
      </font>
      <numFmt numFmtId="13" formatCode="0%"/>
      <fill>
        <patternFill patternType="solid">
          <fgColor rgb="FFF4F6FA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rgb="FFCA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B1A3A"/>
        <name val="Calibri"/>
        <charset val="1"/>
        <scheme val="none"/>
      </font>
      <numFmt numFmtId="0" formatCode="General"/>
      <fill>
        <patternFill patternType="solid">
          <fgColor rgb="FFFFFFFF"/>
          <bgColor rgb="FFF4F6FA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rgb="FFCAE4F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charset val="1"/>
        <scheme val="none"/>
      </font>
      <fill>
        <patternFill patternType="solid">
          <fgColor rgb="FF1A2A50"/>
          <bgColor rgb="FF0B1A3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1A2A50"/>
        </left>
        <right style="thin">
          <color rgb="FF1A2A50"/>
        </right>
        <top/>
        <bottom/>
      </border>
    </dxf>
    <dxf>
      <fill>
        <patternFill patternType="solid">
          <fgColor rgb="FFF4F6FA"/>
          <bgColor rgb="FFFFFFFF"/>
        </patternFill>
      </fill>
    </dxf>
    <dxf>
      <fill>
        <patternFill patternType="solid">
          <fgColor rgb="FFF4F6FA"/>
          <bgColor rgb="FFFFFFFF"/>
        </patternFill>
      </fill>
      <border diagonalUp="0" diagonalDown="0">
        <left/>
        <right/>
        <top/>
        <bottom style="thin">
          <color rgb="FFCA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B1A3A"/>
        <name val="Calibri"/>
        <charset val="1"/>
        <scheme val="none"/>
      </font>
      <fill>
        <patternFill patternType="solid">
          <fgColor rgb="FFF4F6FA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rgb="FFCAE4FE"/>
        </bottom>
        <vertical/>
        <horizontal/>
      </border>
    </dxf>
    <dxf>
      <fill>
        <patternFill patternType="solid">
          <fgColor rgb="FFF4F6FA"/>
          <bgColor rgb="FFFFFFFF"/>
        </patternFill>
      </fill>
      <border diagonalUp="0" diagonalDown="0">
        <left/>
        <right/>
        <top/>
        <bottom style="thin">
          <color rgb="FFCAE4FE"/>
        </bottom>
        <vertical/>
        <horizontal/>
      </border>
    </dxf>
    <dxf>
      <fill>
        <patternFill patternType="solid">
          <fgColor rgb="FFF4F6FA"/>
          <bgColor rgb="FFFFFFFF"/>
        </patternFill>
      </fill>
      <border diagonalUp="0" diagonalDown="0">
        <left/>
        <right/>
        <top/>
        <bottom style="thin">
          <color rgb="FFCAE4FE"/>
        </bottom>
        <vertical/>
        <horizontal/>
      </border>
    </dxf>
    <dxf>
      <fill>
        <patternFill patternType="solid">
          <fgColor rgb="FFF4F6FA"/>
          <bgColor rgb="FFFFFFFF"/>
        </patternFill>
      </fill>
      <border diagonalUp="0" diagonalDown="0">
        <left/>
        <right/>
        <top/>
        <bottom style="thin">
          <color rgb="FFCAE4FE"/>
        </bottom>
        <vertical/>
        <horizontal/>
      </border>
    </dxf>
    <dxf>
      <fill>
        <patternFill patternType="solid">
          <fgColor rgb="FFF4F6FA"/>
          <bgColor rgb="FFFFFFFF"/>
        </patternFill>
      </fill>
      <border diagonalUp="0" diagonalDown="0">
        <left/>
        <right/>
        <top/>
        <bottom style="thin">
          <color rgb="FFCAE4FE"/>
        </bottom>
        <vertical/>
        <horizontal/>
      </border>
    </dxf>
    <dxf>
      <fill>
        <patternFill patternType="solid">
          <fgColor rgb="FFF4F6FA"/>
          <bgColor rgb="FFFFFFFF"/>
        </patternFill>
      </fill>
      <border diagonalUp="0" diagonalDown="0">
        <left/>
        <right/>
        <top/>
        <bottom style="thin">
          <color rgb="FFCAE4FE"/>
        </bottom>
        <vertical/>
        <horizontal/>
      </border>
    </dxf>
    <dxf>
      <fill>
        <patternFill patternType="solid">
          <fgColor rgb="FFF4F6FA"/>
          <bgColor rgb="FFFFFFFF"/>
        </patternFill>
      </fill>
      <border diagonalUp="0" diagonalDown="0">
        <left/>
        <right/>
        <top/>
        <bottom style="thin">
          <color rgb="FFCAE4FE"/>
        </bottom>
        <vertical/>
        <horizontal/>
      </border>
    </dxf>
    <dxf>
      <fill>
        <patternFill patternType="solid">
          <fgColor rgb="FFF4F6FA"/>
          <bgColor rgb="FFFFFFFF"/>
        </patternFill>
      </fill>
      <border diagonalUp="0" diagonalDown="0">
        <left/>
        <right/>
        <top/>
        <bottom style="thin">
          <color rgb="FFCAE4FE"/>
        </bottom>
        <vertical/>
        <horizontal/>
      </border>
    </dxf>
    <dxf>
      <fill>
        <patternFill patternType="solid">
          <fgColor rgb="FFF4F6FA"/>
          <bgColor rgb="FFFFFFFF"/>
        </patternFill>
      </fill>
      <border diagonalUp="0" diagonalDown="0">
        <left/>
        <right/>
        <top/>
        <bottom style="thin">
          <color rgb="FFCAE4FE"/>
        </bottom>
        <vertical/>
        <horizontal/>
      </border>
    </dxf>
    <dxf>
      <fill>
        <patternFill patternType="solid">
          <fgColor rgb="FFF4F6FA"/>
          <bgColor rgb="FFFFFFFF"/>
        </patternFill>
      </fill>
      <border diagonalUp="0" diagonalDown="0">
        <left/>
        <right/>
        <top/>
        <bottom style="thin">
          <color rgb="FFCAE4FE"/>
        </bottom>
        <vertical/>
        <horizontal/>
      </border>
    </dxf>
    <dxf>
      <fill>
        <patternFill patternType="solid">
          <fgColor rgb="FFF4F6FA"/>
          <bgColor rgb="FFFFFFFF"/>
        </patternFill>
      </fill>
      <border diagonalUp="0" diagonalDown="0">
        <left/>
        <right/>
        <top/>
        <bottom style="thin">
          <color rgb="FFCAE4FE"/>
        </bottom>
        <vertical/>
        <horizontal/>
      </border>
    </dxf>
    <dxf>
      <fill>
        <patternFill patternType="solid">
          <fgColor rgb="FFF4F6FA"/>
          <bgColor rgb="FFFFFFFF"/>
        </patternFill>
      </fill>
      <border diagonalUp="0" diagonalDown="0">
        <left/>
        <right/>
        <top/>
        <bottom style="thin">
          <color rgb="FFCAE4F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BA4B5"/>
        <name val="Calibri"/>
        <charset val="1"/>
        <scheme val="none"/>
      </font>
      <fill>
        <patternFill patternType="solid">
          <fgColor rgb="FFF4F6FA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rgb="FFCAE4FE"/>
        </bottom>
        <vertical/>
        <horizontal/>
      </border>
    </dxf>
    <dxf>
      <border outline="0">
        <bottom style="thin">
          <color rgb="FF1A2A50"/>
        </bottom>
      </border>
    </dxf>
    <dxf>
      <border outline="0">
        <top style="thin">
          <color rgb="FF1A2A50"/>
        </top>
        <bottom style="thin">
          <color rgb="FFCAE4FE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4A8BFB"/>
      <rgbColor rgb="FFE63946"/>
      <rgbColor rgb="FFF4F6FA"/>
      <rgbColor rgb="FFCAE4FE"/>
      <rgbColor rgb="FF660066"/>
      <rgbColor rgb="FFFF8080"/>
      <rgbColor rgb="FF0066CC"/>
      <rgbColor rgb="FFD0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2"/>
      <rgbColor rgb="FFCCFFCC"/>
      <rgbColor rgb="FFFFFF99"/>
      <rgbColor rgb="FF99CCFF"/>
      <rgbColor rgb="FFFF99CC"/>
      <rgbColor rgb="FFCC99FF"/>
      <rgbColor rgb="FFFFCC99"/>
      <rgbColor rgb="FF2E73FF"/>
      <rgbColor rgb="FF33CCCC"/>
      <rgbColor rgb="FF99CC00"/>
      <rgbColor rgb="FFFFCC00"/>
      <rgbColor rgb="FFFF9900"/>
      <rgbColor rgb="FFFF6600"/>
      <rgbColor rgb="FF666699"/>
      <rgbColor rgb="FF9BA4B5"/>
      <rgbColor rgb="FF1A2A50"/>
      <rgbColor rgb="FF339966"/>
      <rgbColor rgb="FF0B1A3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B9A17F-833D-467D-9C12-A6CFB900C708}" name="ReadLog" displayName="ReadLog" ref="A6:W14" totalsRowShown="0" headerRowDxfId="10" dataDxfId="11" headerRowBorderDxfId="26" tableBorderDxfId="27">
  <autoFilter ref="A6:W14" xr:uid="{E0B9A17F-833D-467D-9C12-A6CFB900C708}"/>
  <tableColumns count="23">
    <tableColumn id="1" xr3:uid="{5A14C4A2-4169-485F-AA84-D6B068802461}" name="#" dataDxfId="25"/>
    <tableColumn id="2" xr3:uid="{7AC22BD9-61BC-47B6-9551-ED6AFE1A090B}" name="Title" dataDxfId="24"/>
    <tableColumn id="3" xr3:uid="{1D2BF91B-9D5B-4917-AE84-8D47D008C460}" name="Lead Author Last Name" dataDxfId="23"/>
    <tableColumn id="19" xr3:uid="{35EB943B-41D1-46F7-A538-1D4AE1A16005}" name="Lead Author First Name" dataDxfId="5"/>
    <tableColumn id="20" xr3:uid="{E1078508-A1E6-4C7B-AAC8-339550530A08}" name="Other Authors" dataDxfId="4"/>
    <tableColumn id="4" xr3:uid="{50DB3271-625D-4716-9E7D-4584C0427BFF}" name="Pub. Year" dataDxfId="22"/>
    <tableColumn id="5" xr3:uid="{99316D36-FFCC-4E86-AA0D-A765A77363D0}" name="Publisher / Source" dataDxfId="21"/>
    <tableColumn id="6" xr3:uid="{CE948860-EE99-442B-9FAC-BBABE0418CD3}" name="Edition / Vol." dataDxfId="20"/>
    <tableColumn id="7" xr3:uid="{5F4B6939-5B61-4AB3-A15B-8AF31F075A5F}" name="DOI / URL" dataDxfId="19"/>
    <tableColumn id="8" xr3:uid="{8B654FFE-D777-4829-9073-A2DF9DE7266E}" name="Work Type" dataDxfId="18"/>
    <tableColumn id="9" xr3:uid="{03ED97D3-B3E5-402D-A847-6EC87C1EEFD4}" name="Format" dataDxfId="17"/>
    <tableColumn id="10" xr3:uid="{F13D5B36-454B-4D81-988E-877309859BBF}" name="Pages" dataDxfId="16"/>
    <tableColumn id="18" xr3:uid="{E66D4FE7-5FEB-48AA-996E-C04BD762F6CC}" name="Pages Read" dataDxfId="9">
      <calculatedColumnFormula>ROUNDUP(ReadLog[[#This Row],[Pages]]*ReadLog[[#This Row],[% Read]],0)</calculatedColumnFormula>
    </tableColumn>
    <tableColumn id="11" xr3:uid="{D16D40C9-74E0-4CBE-867D-E2E3E6B47E30}" name="Date Started" dataDxfId="15"/>
    <tableColumn id="12" xr3:uid="{4A7CD3A3-C731-4216-8412-6A1ECE4B8B7E}" name="Date Finished" dataDxfId="14"/>
    <tableColumn id="13" xr3:uid="{5D1EC7EF-EF71-4799-AC32-9E71643A32F1}" name="Days to Complete" dataDxfId="13">
      <calculatedColumnFormula>IF(AND(O7&lt;&gt;"",N7&lt;&gt;""),O7-N7,"")</calculatedColumnFormula>
    </tableColumn>
    <tableColumn id="21" xr3:uid="{30CE3B01-025C-4B32-AF9A-9042E34B9D34}" name="Sessions" dataDxfId="3"/>
    <tableColumn id="22" xr3:uid="{1BCFDF9C-B748-4E5C-A398-AA8C3CAC0F87}" name="Total Time (min)" dataDxfId="2"/>
    <tableColumn id="23" xr3:uid="{12922D79-B25A-4C43-AECE-7FAA0B581AD3}" name="Avg WPM" dataDxfId="1"/>
    <tableColumn id="14" xr3:uid="{DC5E3586-04E8-4DF4-A445-D10704240060}" name="Completed?" dataDxfId="12"/>
    <tableColumn id="15" xr3:uid="{13D309A3-86F7-4EC8-85A9-97A796FC411F}" name="% Read" dataDxfId="8"/>
    <tableColumn id="16" xr3:uid="{708144E3-2209-479C-8F77-21F30C9D092A}" name="Rating (1–5)" dataDxfId="7" dataCellStyle="Comma"/>
    <tableColumn id="17" xr3:uid="{068E02FC-9F92-4971-8D68-703D37754AF9}" name="Notes / Key Takeaway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73F3AE-D8B0-4E5A-B1BB-BBDD18CEF971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3FF"/>
  </sheetPr>
  <dimension ref="A1:W14"/>
  <sheetViews>
    <sheetView showGridLines="0" topLeftCell="B1" zoomScaleNormal="100" workbookViewId="0">
      <pane ySplit="6" topLeftCell="A7" activePane="bottomLeft" state="frozen"/>
      <selection pane="bottomLeft" activeCell="D10" sqref="D10"/>
    </sheetView>
  </sheetViews>
  <sheetFormatPr defaultColWidth="8.7109375" defaultRowHeight="15" x14ac:dyDescent="0.25"/>
  <cols>
    <col min="1" max="1" width="5" customWidth="1"/>
    <col min="2" max="2" width="38" customWidth="1"/>
    <col min="3" max="5" width="26" customWidth="1"/>
    <col min="6" max="6" width="11.5703125" customWidth="1"/>
    <col min="7" max="7" width="24" customWidth="1"/>
    <col min="8" max="8" width="14.7109375" customWidth="1"/>
    <col min="9" max="9" width="28" customWidth="1"/>
    <col min="10" max="10" width="16" customWidth="1"/>
    <col min="11" max="11" width="13" customWidth="1"/>
    <col min="12" max="13" width="10" customWidth="1"/>
    <col min="14" max="14" width="14.140625" customWidth="1"/>
    <col min="15" max="15" width="15.28515625" customWidth="1"/>
    <col min="16" max="19" width="18.7109375" customWidth="1"/>
    <col min="20" max="21" width="14" customWidth="1"/>
    <col min="22" max="22" width="13.5703125" customWidth="1"/>
    <col min="23" max="23" width="40" customWidth="1"/>
  </cols>
  <sheetData>
    <row r="1" spans="1:23" ht="12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6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ht="42" customHeight="1" x14ac:dyDescent="0.25">
      <c r="A3" s="14" t="s">
        <v>0</v>
      </c>
      <c r="B3" s="14"/>
      <c r="C3" s="14"/>
      <c r="D3" s="14"/>
      <c r="E3" s="14"/>
      <c r="F3" s="14"/>
      <c r="G3" s="14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21.75" customHeight="1" x14ac:dyDescent="0.25">
      <c r="A4" s="13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7.5" customHeight="1" x14ac:dyDescent="0.25">
      <c r="A5" s="17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36" customHeight="1" x14ac:dyDescent="0.25">
      <c r="A6" s="31" t="s">
        <v>2</v>
      </c>
      <c r="B6" s="31" t="s">
        <v>3</v>
      </c>
      <c r="C6" s="31" t="s">
        <v>120</v>
      </c>
      <c r="D6" s="31" t="s">
        <v>121</v>
      </c>
      <c r="E6" s="31" t="s">
        <v>122</v>
      </c>
      <c r="F6" s="31" t="s">
        <v>4</v>
      </c>
      <c r="G6" s="31" t="s">
        <v>5</v>
      </c>
      <c r="H6" s="31" t="s">
        <v>6</v>
      </c>
      <c r="I6" s="31" t="s">
        <v>7</v>
      </c>
      <c r="J6" s="31" t="s">
        <v>8</v>
      </c>
      <c r="K6" s="31" t="s">
        <v>9</v>
      </c>
      <c r="L6" s="31" t="s">
        <v>10</v>
      </c>
      <c r="M6" s="31" t="s">
        <v>110</v>
      </c>
      <c r="N6" s="31" t="s">
        <v>11</v>
      </c>
      <c r="O6" s="31" t="s">
        <v>12</v>
      </c>
      <c r="P6" s="31" t="s">
        <v>13</v>
      </c>
      <c r="Q6" s="31" t="s">
        <v>140</v>
      </c>
      <c r="R6" s="31" t="s">
        <v>141</v>
      </c>
      <c r="S6" s="31" t="s">
        <v>142</v>
      </c>
      <c r="T6" s="31" t="s">
        <v>14</v>
      </c>
      <c r="U6" s="31" t="s">
        <v>105</v>
      </c>
      <c r="V6" s="31" t="s">
        <v>15</v>
      </c>
      <c r="W6" s="31" t="s">
        <v>16</v>
      </c>
    </row>
    <row r="7" spans="1:23" x14ac:dyDescent="0.25">
      <c r="A7" s="18">
        <v>1</v>
      </c>
      <c r="B7" s="19" t="s">
        <v>17</v>
      </c>
      <c r="C7" s="19" t="s">
        <v>123</v>
      </c>
      <c r="D7" s="19" t="s">
        <v>131</v>
      </c>
      <c r="E7" s="19"/>
      <c r="F7" s="20">
        <v>1949</v>
      </c>
      <c r="G7" s="19" t="s">
        <v>18</v>
      </c>
      <c r="H7" s="20" t="s">
        <v>19</v>
      </c>
      <c r="I7" s="19"/>
      <c r="J7" s="20" t="s">
        <v>20</v>
      </c>
      <c r="K7" s="20" t="s">
        <v>21</v>
      </c>
      <c r="L7" s="20">
        <v>640</v>
      </c>
      <c r="M7" s="32">
        <f>ROUNDUP(ReadLog[[#This Row],[Pages]]*ReadLog[[#This Row],[% Read]],0)</f>
        <v>615</v>
      </c>
      <c r="N7" s="21">
        <v>45662</v>
      </c>
      <c r="O7" s="21"/>
      <c r="P7" s="20" t="str">
        <f t="shared" ref="P7:P14" si="0">IF(AND(O7&lt;&gt;"",N7&lt;&gt;""),O7-N7,"")</f>
        <v/>
      </c>
      <c r="Q7" s="20">
        <v>28</v>
      </c>
      <c r="R7" s="20">
        <v>1680</v>
      </c>
      <c r="S7" s="20">
        <v>230</v>
      </c>
      <c r="T7" s="20" t="s">
        <v>106</v>
      </c>
      <c r="U7" s="22">
        <v>0.96</v>
      </c>
      <c r="V7" s="34">
        <v>4</v>
      </c>
      <c r="W7" s="35" t="s">
        <v>22</v>
      </c>
    </row>
    <row r="8" spans="1:23" x14ac:dyDescent="0.25">
      <c r="A8" s="23">
        <f>A7+1</f>
        <v>2</v>
      </c>
      <c r="B8" s="24" t="s">
        <v>23</v>
      </c>
      <c r="C8" s="24" t="s">
        <v>124</v>
      </c>
      <c r="D8" s="24" t="s">
        <v>132</v>
      </c>
      <c r="E8" s="24"/>
      <c r="F8" s="25">
        <v>2011</v>
      </c>
      <c r="G8" s="24" t="s">
        <v>24</v>
      </c>
      <c r="H8" s="25" t="s">
        <v>25</v>
      </c>
      <c r="I8" s="24"/>
      <c r="J8" s="25" t="s">
        <v>20</v>
      </c>
      <c r="K8" s="25" t="s">
        <v>114</v>
      </c>
      <c r="L8" s="25">
        <v>499</v>
      </c>
      <c r="M8" s="33">
        <f>ROUNDUP(ReadLog[[#This Row],[Pages]]*ReadLog[[#This Row],[% Read]],0)</f>
        <v>499</v>
      </c>
      <c r="N8" s="26">
        <v>45703</v>
      </c>
      <c r="O8" s="26">
        <v>45724</v>
      </c>
      <c r="P8" s="25">
        <f t="shared" si="0"/>
        <v>21</v>
      </c>
      <c r="Q8" s="25">
        <v>18</v>
      </c>
      <c r="R8" s="25">
        <v>1080</v>
      </c>
      <c r="S8" s="25">
        <v>260</v>
      </c>
      <c r="T8" s="20" t="s">
        <v>107</v>
      </c>
      <c r="U8" s="22">
        <v>1</v>
      </c>
      <c r="V8" s="34">
        <v>5</v>
      </c>
      <c r="W8" s="35" t="s">
        <v>26</v>
      </c>
    </row>
    <row r="9" spans="1:23" x14ac:dyDescent="0.25">
      <c r="A9" s="23">
        <f t="shared" ref="A9:A14" si="1">A8+1</f>
        <v>3</v>
      </c>
      <c r="B9" s="19" t="s">
        <v>27</v>
      </c>
      <c r="C9" s="19" t="s">
        <v>125</v>
      </c>
      <c r="D9" s="19" t="s">
        <v>133</v>
      </c>
      <c r="E9" s="19"/>
      <c r="F9" s="20">
        <v>1990</v>
      </c>
      <c r="G9" s="19" t="s">
        <v>28</v>
      </c>
      <c r="H9" s="20" t="s">
        <v>19</v>
      </c>
      <c r="I9" s="19"/>
      <c r="J9" s="20" t="s">
        <v>20</v>
      </c>
      <c r="K9" s="20" t="s">
        <v>21</v>
      </c>
      <c r="L9" s="20">
        <v>445</v>
      </c>
      <c r="M9" s="32">
        <f>ROUNDUP(ReadLog[[#This Row],[Pages]]*ReadLog[[#This Row],[% Read]],0)</f>
        <v>445</v>
      </c>
      <c r="N9" s="21">
        <v>45726</v>
      </c>
      <c r="O9" s="21">
        <v>45744</v>
      </c>
      <c r="P9" s="20">
        <f t="shared" si="0"/>
        <v>18</v>
      </c>
      <c r="Q9" s="20">
        <v>15</v>
      </c>
      <c r="R9" s="20">
        <v>840</v>
      </c>
      <c r="S9" s="20">
        <v>280</v>
      </c>
      <c r="T9" s="20" t="s">
        <v>107</v>
      </c>
      <c r="U9" s="22">
        <v>1</v>
      </c>
      <c r="V9" s="34">
        <v>5</v>
      </c>
      <c r="W9" s="35" t="s">
        <v>29</v>
      </c>
    </row>
    <row r="10" spans="1:23" x14ac:dyDescent="0.25">
      <c r="A10" s="23">
        <f t="shared" si="1"/>
        <v>4</v>
      </c>
      <c r="B10" s="24" t="s">
        <v>30</v>
      </c>
      <c r="C10" s="24" t="s">
        <v>126</v>
      </c>
      <c r="D10" s="24" t="s">
        <v>134</v>
      </c>
      <c r="E10" s="24"/>
      <c r="F10" s="25">
        <v>2018</v>
      </c>
      <c r="G10" s="24" t="s">
        <v>31</v>
      </c>
      <c r="H10" s="25" t="s">
        <v>25</v>
      </c>
      <c r="I10" s="24"/>
      <c r="J10" s="25" t="s">
        <v>20</v>
      </c>
      <c r="K10" s="25" t="s">
        <v>115</v>
      </c>
      <c r="L10" s="25">
        <v>320</v>
      </c>
      <c r="M10" s="33">
        <f>ROUNDUP(ReadLog[[#This Row],[Pages]]*ReadLog[[#This Row],[% Read]],0)</f>
        <v>26</v>
      </c>
      <c r="N10" s="26">
        <v>45748</v>
      </c>
      <c r="O10" s="26"/>
      <c r="P10" s="25" t="str">
        <f t="shared" si="0"/>
        <v/>
      </c>
      <c r="Q10" s="25">
        <v>3</v>
      </c>
      <c r="R10" s="25">
        <v>45</v>
      </c>
      <c r="S10" s="25">
        <v>290</v>
      </c>
      <c r="T10" s="20" t="s">
        <v>106</v>
      </c>
      <c r="U10" s="22">
        <v>0.08</v>
      </c>
      <c r="V10" s="34">
        <v>2</v>
      </c>
      <c r="W10" s="35" t="s">
        <v>32</v>
      </c>
    </row>
    <row r="11" spans="1:23" x14ac:dyDescent="0.25">
      <c r="A11" s="23">
        <f t="shared" si="1"/>
        <v>5</v>
      </c>
      <c r="B11" s="19" t="s">
        <v>33</v>
      </c>
      <c r="C11" s="19" t="s">
        <v>127</v>
      </c>
      <c r="D11" s="19" t="s">
        <v>135</v>
      </c>
      <c r="E11" s="19"/>
      <c r="F11" s="20">
        <v>2013</v>
      </c>
      <c r="G11" s="19" t="s">
        <v>34</v>
      </c>
      <c r="H11" s="20" t="s">
        <v>25</v>
      </c>
      <c r="I11" s="19"/>
      <c r="J11" s="20" t="s">
        <v>20</v>
      </c>
      <c r="K11" s="20" t="s">
        <v>114</v>
      </c>
      <c r="L11" s="20">
        <v>816</v>
      </c>
      <c r="M11" s="32">
        <f>ROUNDUP(ReadLog[[#This Row],[Pages]]*ReadLog[[#This Row],[% Read]],0)</f>
        <v>368</v>
      </c>
      <c r="N11" s="21">
        <v>45762</v>
      </c>
      <c r="O11" s="21"/>
      <c r="P11" s="20" t="str">
        <f t="shared" si="0"/>
        <v/>
      </c>
      <c r="Q11" s="20">
        <v>20</v>
      </c>
      <c r="R11" s="20">
        <v>1200</v>
      </c>
      <c r="S11" s="20">
        <v>210</v>
      </c>
      <c r="T11" s="20" t="s">
        <v>106</v>
      </c>
      <c r="U11" s="22">
        <v>0.45</v>
      </c>
      <c r="V11" s="34">
        <v>1</v>
      </c>
      <c r="W11" s="35" t="s">
        <v>35</v>
      </c>
    </row>
    <row r="12" spans="1:23" x14ac:dyDescent="0.25">
      <c r="A12" s="23">
        <f t="shared" si="1"/>
        <v>6</v>
      </c>
      <c r="B12" s="24" t="s">
        <v>36</v>
      </c>
      <c r="C12" s="24" t="s">
        <v>128</v>
      </c>
      <c r="D12" s="24" t="s">
        <v>136</v>
      </c>
      <c r="E12" s="24"/>
      <c r="F12" s="25">
        <v>2024</v>
      </c>
      <c r="G12" s="24" t="s">
        <v>37</v>
      </c>
      <c r="H12" s="25" t="s">
        <v>38</v>
      </c>
      <c r="I12" s="24" t="s">
        <v>39</v>
      </c>
      <c r="J12" s="25" t="s">
        <v>113</v>
      </c>
      <c r="K12" s="25" t="s">
        <v>21</v>
      </c>
      <c r="L12" s="25">
        <v>22</v>
      </c>
      <c r="M12" s="33">
        <f>ROUNDUP(ReadLog[[#This Row],[Pages]]*ReadLog[[#This Row],[% Read]],0)</f>
        <v>22</v>
      </c>
      <c r="N12" s="26">
        <v>45778</v>
      </c>
      <c r="O12" s="26"/>
      <c r="P12" s="25" t="str">
        <f t="shared" si="0"/>
        <v/>
      </c>
      <c r="Q12" s="25">
        <v>1</v>
      </c>
      <c r="R12" s="25">
        <v>35</v>
      </c>
      <c r="S12" s="25">
        <v>310</v>
      </c>
      <c r="T12" s="20" t="s">
        <v>106</v>
      </c>
      <c r="U12" s="22">
        <v>0.99</v>
      </c>
      <c r="V12" s="34">
        <v>1</v>
      </c>
      <c r="W12" s="35" t="s">
        <v>40</v>
      </c>
    </row>
    <row r="13" spans="1:23" x14ac:dyDescent="0.25">
      <c r="A13" s="23">
        <f t="shared" si="1"/>
        <v>7</v>
      </c>
      <c r="B13" s="19" t="s">
        <v>41</v>
      </c>
      <c r="C13" s="19" t="s">
        <v>129</v>
      </c>
      <c r="D13" s="19" t="s">
        <v>137</v>
      </c>
      <c r="E13" s="19"/>
      <c r="F13" s="20">
        <v>2001</v>
      </c>
      <c r="G13" s="19" t="s">
        <v>42</v>
      </c>
      <c r="H13" s="20" t="s">
        <v>25</v>
      </c>
      <c r="I13" s="19"/>
      <c r="J13" s="20" t="s">
        <v>20</v>
      </c>
      <c r="K13" s="20" t="s">
        <v>21</v>
      </c>
      <c r="L13" s="20">
        <v>320</v>
      </c>
      <c r="M13" s="32">
        <f>ROUNDUP(ReadLog[[#This Row],[Pages]]*ReadLog[[#This Row],[% Read]],0)</f>
        <v>196</v>
      </c>
      <c r="N13" s="21">
        <v>45787</v>
      </c>
      <c r="O13" s="21"/>
      <c r="P13" s="20" t="str">
        <f t="shared" si="0"/>
        <v/>
      </c>
      <c r="Q13" s="20">
        <v>12</v>
      </c>
      <c r="R13" s="20">
        <v>540</v>
      </c>
      <c r="S13" s="20">
        <v>270</v>
      </c>
      <c r="T13" s="20" t="s">
        <v>106</v>
      </c>
      <c r="U13" s="22">
        <v>0.61</v>
      </c>
      <c r="V13" s="34">
        <v>3</v>
      </c>
      <c r="W13" s="35" t="s">
        <v>43</v>
      </c>
    </row>
    <row r="14" spans="1:23" x14ac:dyDescent="0.25">
      <c r="A14" s="23">
        <f t="shared" si="1"/>
        <v>8</v>
      </c>
      <c r="B14" s="24" t="s">
        <v>44</v>
      </c>
      <c r="C14" s="24" t="s">
        <v>130</v>
      </c>
      <c r="D14" s="24" t="s">
        <v>138</v>
      </c>
      <c r="E14" s="24"/>
      <c r="F14" s="25">
        <v>180</v>
      </c>
      <c r="G14" s="24" t="s">
        <v>45</v>
      </c>
      <c r="H14" s="25" t="s">
        <v>46</v>
      </c>
      <c r="I14" s="24"/>
      <c r="J14" s="25" t="s">
        <v>20</v>
      </c>
      <c r="K14" s="25" t="s">
        <v>21</v>
      </c>
      <c r="L14" s="25">
        <v>256</v>
      </c>
      <c r="M14" s="33">
        <f>ROUNDUP(ReadLog[[#This Row],[Pages]]*ReadLog[[#This Row],[% Read]],0)</f>
        <v>121</v>
      </c>
      <c r="N14" s="26">
        <v>45809</v>
      </c>
      <c r="O14" s="26"/>
      <c r="P14" s="25" t="str">
        <f t="shared" si="0"/>
        <v/>
      </c>
      <c r="Q14" s="25">
        <v>10</v>
      </c>
      <c r="R14" s="25">
        <v>420</v>
      </c>
      <c r="S14" s="25">
        <v>240</v>
      </c>
      <c r="T14" s="20" t="s">
        <v>106</v>
      </c>
      <c r="U14" s="22">
        <v>0.47</v>
      </c>
      <c r="V14" s="34">
        <v>4</v>
      </c>
      <c r="W14" s="35" t="s">
        <v>47</v>
      </c>
    </row>
  </sheetData>
  <mergeCells count="2">
    <mergeCell ref="A3:G3"/>
    <mergeCell ref="A4:J4"/>
  </mergeCells>
  <phoneticPr fontId="15" type="noConversion"/>
  <conditionalFormatting sqref="T7:T14">
    <cfRule type="cellIs" dxfId="0" priority="2" operator="equal">
      <formula>"N"</formula>
    </cfRule>
  </conditionalFormatting>
  <conditionalFormatting sqref="W7:W14">
    <cfRule type="dataBar" priority="3">
      <dataBar>
        <cfvo type="num" val="1"/>
        <cfvo type="num" val="5"/>
        <color rgb="FF4A8BFB"/>
      </dataBar>
      <extLst>
        <ext xmlns:x14="http://schemas.microsoft.com/office/spreadsheetml/2009/9/main" uri="{B025F937-C7B1-47D3-B67F-A62EFF666E3E}">
          <x14:id>{BE2F18C9-3F2F-4D87-931A-DF2A20804C54}</x14:id>
        </ext>
      </extLst>
    </cfRule>
  </conditionalFormatting>
  <dataValidations count="4">
    <dataValidation type="list" allowBlank="1" sqref="T7:T14" xr:uid="{00000000-0002-0000-0000-000002000000}">
      <formula1>"Y,N"</formula1>
      <formula2>0</formula2>
    </dataValidation>
    <dataValidation type="whole" allowBlank="1" showInputMessage="1" showErrorMessage="1" sqref="V7:V14" xr:uid="{3BE4727E-C908-43CD-B95A-347971DA7D1A}">
      <formula1>1</formula1>
      <formula2>5</formula2>
    </dataValidation>
    <dataValidation type="list" allowBlank="1" showInputMessage="1" showErrorMessage="1" sqref="J7:J1005" xr:uid="{3EF3EFE1-B148-46D0-B1D5-D2F42F6E4BC7}">
      <formula1>"""Book,Article,PDF"""</formula1>
    </dataValidation>
    <dataValidation type="list" allowBlank="1" showInputMessage="1" showErrorMessage="1" sqref="K7:K1005" xr:uid="{0F2243F7-E3E3-4746-91A1-A1F1D823EC82}">
      <formula1>"""Print,Digital,Audio"""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2F18C9-3F2F-4D87-931A-DF2A20804C54}">
            <x14:dataBar axisPosition="none">
              <x14:cfvo type="num">
                <xm:f>1</xm:f>
              </x14:cfvo>
              <x14:cfvo type="num">
                <xm:f>5</xm:f>
              </x14:cfvo>
              <x14:negativeFillColor rgb="FF4A8BFB"/>
            </x14:dataBar>
          </x14:cfRule>
          <xm:sqref>W7:W14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63946"/>
  </sheetPr>
  <dimension ref="A1:N91"/>
  <sheetViews>
    <sheetView showGridLines="0" tabSelected="1" zoomScaleNormal="100" workbookViewId="0">
      <pane ySplit="5" topLeftCell="A6" activePane="bottomLeft" state="frozen"/>
      <selection pane="bottomLeft" activeCell="B41" sqref="B41:C41"/>
    </sheetView>
  </sheetViews>
  <sheetFormatPr defaultColWidth="8.7109375" defaultRowHeight="15" x14ac:dyDescent="0.25"/>
  <cols>
    <col min="1" max="1" width="3" customWidth="1"/>
    <col min="2" max="13" width="18" customWidth="1"/>
    <col min="14" max="14" width="3" customWidth="1"/>
  </cols>
  <sheetData>
    <row r="1" spans="1:14" ht="6" customHeigh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49.5" customHeight="1" x14ac:dyDescent="0.25">
      <c r="A2" s="15"/>
      <c r="B2" s="14" t="s">
        <v>48</v>
      </c>
      <c r="C2" s="14"/>
      <c r="D2" s="14"/>
      <c r="E2" s="14"/>
      <c r="F2" s="14"/>
      <c r="G2" s="14"/>
      <c r="H2" s="15"/>
      <c r="I2" s="15"/>
      <c r="J2" s="15"/>
      <c r="K2" s="15"/>
      <c r="L2" s="15"/>
      <c r="M2" s="15"/>
      <c r="N2" s="15"/>
    </row>
    <row r="3" spans="1:14" ht="21.75" customHeight="1" x14ac:dyDescent="0.25">
      <c r="A3" s="15"/>
      <c r="B3" s="13" t="s">
        <v>49</v>
      </c>
      <c r="C3" s="13"/>
      <c r="D3" s="13"/>
      <c r="E3" s="13"/>
      <c r="F3" s="13"/>
      <c r="G3" s="13"/>
      <c r="H3" s="13"/>
      <c r="I3" s="13"/>
      <c r="J3" s="15"/>
      <c r="K3" s="15"/>
      <c r="L3" s="15"/>
      <c r="M3" s="15"/>
      <c r="N3" s="15"/>
    </row>
    <row r="4" spans="1:14" ht="3.75" customHeight="1" x14ac:dyDescent="0.25">
      <c r="A4" s="15"/>
      <c r="B4" s="17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2" customHeight="1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31.5" customHeight="1" thickBot="1" x14ac:dyDescent="0.4">
      <c r="A6" s="15"/>
      <c r="B6" s="12" t="s">
        <v>50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5"/>
    </row>
    <row r="7" spans="1:14" ht="31.5" customHeight="1" x14ac:dyDescent="0.25">
      <c r="A7" s="43"/>
      <c r="B7" s="42" t="s">
        <v>155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15"/>
    </row>
    <row r="8" spans="1:14" ht="51.75" customHeight="1" x14ac:dyDescent="0.45">
      <c r="A8" s="15"/>
      <c r="B8" s="11">
        <f>COUNTA(ReadLog[Title])</f>
        <v>8</v>
      </c>
      <c r="C8" s="11"/>
      <c r="D8" s="11">
        <f ca="1">COUNTIFS(ReadLog[Date Started],"&gt;="&amp;DATE(YEAR(TODAY()),1,1),ReadLog[Date Started],"&lt;&gt;")</f>
        <v>0</v>
      </c>
      <c r="E8" s="11"/>
      <c r="F8" s="10">
        <f>SUM(ReadLog[Pages Read])</f>
        <v>2292</v>
      </c>
      <c r="G8" s="10"/>
      <c r="H8" s="9">
        <f>IFERROR(SUMIFS(ReadLog[Pages Read],ReadLog[Completed?],"Y")/SUMIFS(ReadLog[Days to Complete],ReadLog[Completed?],"Y"),0)</f>
        <v>24.205128205128204</v>
      </c>
      <c r="I8" s="9"/>
      <c r="J8" s="9">
        <f>IFERROR(AVERAGE(ReadLog[Days to Complete]),0)</f>
        <v>19.5</v>
      </c>
      <c r="K8" s="9"/>
      <c r="L8" s="9">
        <f ca="1">IFERROR(COUNTA(ReadLog[Title])/MAX(1,DATEDIF(MIN(ReadLog[Date Started]),TODAY(),"m")),0)</f>
        <v>0.5714285714285714</v>
      </c>
      <c r="M8" s="9"/>
      <c r="N8" s="15"/>
    </row>
    <row r="9" spans="1:14" ht="21.75" customHeight="1" x14ac:dyDescent="0.25">
      <c r="A9" s="15"/>
      <c r="B9" s="8" t="s">
        <v>51</v>
      </c>
      <c r="C9" s="8"/>
      <c r="D9" s="8" t="s">
        <v>52</v>
      </c>
      <c r="E9" s="8"/>
      <c r="F9" s="8" t="s">
        <v>53</v>
      </c>
      <c r="G9" s="8"/>
      <c r="H9" s="8" t="s">
        <v>54</v>
      </c>
      <c r="I9" s="8"/>
      <c r="J9" s="8" t="s">
        <v>55</v>
      </c>
      <c r="K9" s="8"/>
      <c r="L9" s="8" t="s">
        <v>56</v>
      </c>
      <c r="M9" s="8"/>
      <c r="N9" s="15"/>
    </row>
    <row r="10" spans="1:14" ht="19.5" customHeight="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 ht="51.75" customHeight="1" x14ac:dyDescent="0.45">
      <c r="A11" s="15"/>
      <c r="B11" s="10">
        <f>IFERROR(MAX(ReadLog[Pages Read]),"")</f>
        <v>615</v>
      </c>
      <c r="C11" s="10"/>
      <c r="D11" s="10" cm="1">
        <f t="array" ref="D11">IFERROR(MIN(IF(ReadLog[Pages Read]&lt;&gt;"",IF(ReadLog[Pages Read]&gt;0,ReadLog[Pages Read]))),"")</f>
        <v>22</v>
      </c>
      <c r="E11" s="10"/>
      <c r="F11" s="11">
        <f>IFERROR(MAX(ReadLog[Days to Complete]),"")</f>
        <v>21</v>
      </c>
      <c r="G11" s="11"/>
      <c r="H11" s="11" cm="1">
        <f t="array" ref="H11">IFERROR(MIN(IF(ReadLog[Days to Complete]&lt;&gt;"",IF(ReadLog[Days to Complete]&gt;0,ReadLog[Days to Complete]))),"")</f>
        <v>18</v>
      </c>
      <c r="I11" s="11"/>
      <c r="J11" s="9">
        <f ca="1">IFERROR(COUNTA(ReadLog[Title])/MAX(1,DATEDIF(MIN(ReadLog[Date Started]),TODAY(),"y")+1),0)</f>
        <v>4</v>
      </c>
      <c r="K11" s="9"/>
      <c r="L11" s="10" cm="1">
        <f t="array" aca="1" ref="L11" ca="1">SUMPRODUCT((ReadLog[Date Started]&gt;=DATE(YEAR(TODAY()),1,1))*(ReadLog[Pages Read]))</f>
        <v>0</v>
      </c>
      <c r="M11" s="10"/>
      <c r="N11" s="15"/>
    </row>
    <row r="12" spans="1:14" ht="21.75" customHeight="1" x14ac:dyDescent="0.25">
      <c r="A12" s="15"/>
      <c r="B12" s="8" t="s">
        <v>111</v>
      </c>
      <c r="C12" s="8"/>
      <c r="D12" s="8" t="s">
        <v>112</v>
      </c>
      <c r="E12" s="8"/>
      <c r="F12" s="8" t="s">
        <v>57</v>
      </c>
      <c r="G12" s="8"/>
      <c r="H12" s="8" t="s">
        <v>58</v>
      </c>
      <c r="I12" s="8"/>
      <c r="J12" s="8" t="s">
        <v>59</v>
      </c>
      <c r="K12" s="8"/>
      <c r="L12" s="8" t="s">
        <v>60</v>
      </c>
      <c r="M12" s="8"/>
      <c r="N12" s="15"/>
    </row>
    <row r="13" spans="1:14" ht="19.5" customHeight="1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ht="19.5" customHeight="1" x14ac:dyDescent="0.25">
      <c r="A14" s="43"/>
      <c r="B14" s="44" t="s">
        <v>156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15"/>
    </row>
    <row r="15" spans="1:14" ht="28.5" x14ac:dyDescent="0.45">
      <c r="A15" s="46"/>
      <c r="B15" s="41">
        <f>SUM(ReadLog[Sessions])</f>
        <v>107</v>
      </c>
      <c r="C15" s="11"/>
      <c r="D15" s="9">
        <f>IFERROR(AVERAGE(ReadLog[Sessions]),0)</f>
        <v>13.375</v>
      </c>
      <c r="E15" s="9"/>
      <c r="F15" s="9">
        <f>IFERROR(ROUND(SUM(ReadLog[Total Time (min)])/60,1),"")</f>
        <v>97.3</v>
      </c>
      <c r="G15" s="9"/>
      <c r="H15" s="11">
        <f>IFERROR(ROUND(SUM(ReadLog[Total Time (min)])/SUM(ReadLog[Sessions]),0),"")</f>
        <v>55</v>
      </c>
      <c r="I15" s="11"/>
      <c r="J15" s="11">
        <f>IFERROR(ROUND(SUMPRODUCT(ReadLog[Avg WPM],ReadLog[Sessions])/SUM(ReadLog[Sessions]),0),"")</f>
        <v>246</v>
      </c>
      <c r="K15" s="11"/>
      <c r="L15" s="9">
        <f>IFERROR(ROUND(SUMIFS(ReadLog[Total Time (min)],ReadLog[Completed?],"Y")/60,1),"")</f>
        <v>32</v>
      </c>
      <c r="M15" s="9"/>
      <c r="N15" s="15"/>
    </row>
    <row r="16" spans="1:14" x14ac:dyDescent="0.25">
      <c r="A16" s="46"/>
      <c r="B16" s="39" t="s">
        <v>143</v>
      </c>
      <c r="C16" s="8"/>
      <c r="D16" s="8" t="s">
        <v>144</v>
      </c>
      <c r="E16" s="8"/>
      <c r="F16" s="8" t="s">
        <v>145</v>
      </c>
      <c r="G16" s="8"/>
      <c r="H16" s="8" t="s">
        <v>146</v>
      </c>
      <c r="I16" s="8"/>
      <c r="J16" s="8" t="s">
        <v>147</v>
      </c>
      <c r="K16" s="8"/>
      <c r="L16" s="8" t="s">
        <v>148</v>
      </c>
      <c r="M16" s="8"/>
      <c r="N16" s="15"/>
    </row>
    <row r="17" spans="1:14" ht="19.5" customHeight="1" x14ac:dyDescent="0.25">
      <c r="A17" s="43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ht="19.5" customHeight="1" x14ac:dyDescent="0.45">
      <c r="A18" s="46"/>
      <c r="B18" s="40">
        <f>IFERROR(MAX(ReadLog[Sessions]),"")</f>
        <v>28</v>
      </c>
      <c r="C18" s="10"/>
      <c r="D18" s="10" cm="1">
        <f t="array" ref="D18">IFERROR(MIN(IF(ReadLog[Sessions]&lt;&gt;"",IF(ReadLog[Sessions]&gt;0,ReadLog[Sessions]))),"")</f>
        <v>1</v>
      </c>
      <c r="E18" s="10"/>
      <c r="F18" s="11">
        <f>IFERROR(MAX(ReadLog[Avg WPM]),"")</f>
        <v>310</v>
      </c>
      <c r="G18" s="11"/>
      <c r="H18" s="11" cm="1">
        <f t="array" ref="H18">IFERROR(MIN(IF(ReadLog[Avg WPM]&lt;&gt;"",IF(ReadLog[Avg WPM]&gt;0,ReadLog[Avg WPM]))),"")</f>
        <v>210</v>
      </c>
      <c r="I18" s="11"/>
      <c r="J18" s="10">
        <f>IFERROR(ROUND(AVERAGE(ReadLog[Total Time (min)]),0),"")</f>
        <v>730</v>
      </c>
      <c r="K18" s="10"/>
      <c r="L18" s="9">
        <f>IFERROR(ROUND(MAX(ReadLog[Total Time (min)])/60,1),"")</f>
        <v>28</v>
      </c>
      <c r="M18" s="9"/>
      <c r="N18" s="15"/>
    </row>
    <row r="19" spans="1:14" ht="19.5" customHeight="1" x14ac:dyDescent="0.25">
      <c r="A19" s="46"/>
      <c r="B19" s="39" t="s">
        <v>149</v>
      </c>
      <c r="C19" s="8"/>
      <c r="D19" s="8" t="s">
        <v>150</v>
      </c>
      <c r="E19" s="8"/>
      <c r="F19" s="8" t="s">
        <v>151</v>
      </c>
      <c r="G19" s="8"/>
      <c r="H19" s="8" t="s">
        <v>152</v>
      </c>
      <c r="I19" s="8"/>
      <c r="J19" s="8" t="s">
        <v>153</v>
      </c>
      <c r="K19" s="8"/>
      <c r="L19" s="8" t="s">
        <v>154</v>
      </c>
      <c r="M19" s="8"/>
      <c r="N19" s="15"/>
    </row>
    <row r="20" spans="1:14" ht="19.5" customHeight="1" x14ac:dyDescent="0.25">
      <c r="A20" s="43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 ht="31.5" customHeight="1" thickBot="1" x14ac:dyDescent="0.4">
      <c r="A21" s="15"/>
      <c r="B21" s="12" t="s">
        <v>61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5"/>
    </row>
    <row r="22" spans="1:14" ht="51.75" customHeight="1" x14ac:dyDescent="0.45">
      <c r="A22" s="15"/>
      <c r="B22" s="7">
        <f>IFERROR(COUNTIF(ReadLog[Completed?],"Y")/COUNTA(ReadLog[Completed?]),0)</f>
        <v>0.25</v>
      </c>
      <c r="C22" s="7"/>
      <c r="D22" s="6">
        <f>IFERROR(COUNTIF(ReadLog[Completed?],"N")/COUNTA(ReadLog[Completed?]),0)</f>
        <v>0.75</v>
      </c>
      <c r="E22" s="6"/>
      <c r="F22" s="5">
        <f>COUNTIF(ReadLog[Completed?],"N")</f>
        <v>6</v>
      </c>
      <c r="G22" s="5"/>
      <c r="H22" s="4">
        <f>IFERROR(AVERAGEIF(ReadLog[Completed?],"N",ReadLog[% Read]),0)</f>
        <v>0.59333333333333327</v>
      </c>
      <c r="I22" s="4"/>
      <c r="J22" s="11">
        <f>COUNTIFS(ReadLog[Completed?],"N",ReadLog[Work Type],"Book")</f>
        <v>5</v>
      </c>
      <c r="K22" s="11"/>
      <c r="L22" s="11">
        <f>COUNTIFS(ReadLog[Completed?],"N",ReadLog[Work Type],"Article")</f>
        <v>1</v>
      </c>
      <c r="M22" s="11"/>
      <c r="N22" s="15"/>
    </row>
    <row r="23" spans="1:14" ht="21.75" customHeight="1" x14ac:dyDescent="0.25">
      <c r="A23" s="15"/>
      <c r="B23" s="8" t="s">
        <v>62</v>
      </c>
      <c r="C23" s="8"/>
      <c r="D23" s="8" t="s">
        <v>63</v>
      </c>
      <c r="E23" s="8"/>
      <c r="F23" s="8" t="s">
        <v>64</v>
      </c>
      <c r="G23" s="8"/>
      <c r="H23" s="8" t="s">
        <v>65</v>
      </c>
      <c r="I23" s="8"/>
      <c r="J23" s="8" t="s">
        <v>66</v>
      </c>
      <c r="K23" s="8"/>
      <c r="L23" s="8" t="s">
        <v>67</v>
      </c>
      <c r="M23" s="8"/>
      <c r="N23" s="15"/>
    </row>
    <row r="24" spans="1:14" ht="19.5" customHeight="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ht="31.5" customHeight="1" x14ac:dyDescent="0.35">
      <c r="A25" s="15"/>
      <c r="B25" s="12" t="s">
        <v>68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5"/>
    </row>
    <row r="26" spans="1:14" ht="51.75" customHeight="1" x14ac:dyDescent="0.45">
      <c r="A26" s="15"/>
      <c r="B26" s="11">
        <f>IFERROR(ROUND(MEDIAN(ReadLog[Pub. Year]),0),"")</f>
        <v>2006</v>
      </c>
      <c r="C26" s="11"/>
      <c r="D26" s="9" cm="1">
        <f t="array" aca="1" ref="D26" ca="1">IFERROR(ROUND(MEDIAN(IF(ReadLog[Pub. Year]&lt;&gt;"",YEAR(TODAY())-ReadLog[Pub. Year])),1),"")</f>
        <v>20</v>
      </c>
      <c r="E26" s="9"/>
      <c r="F26" s="11" cm="1">
        <f t="array" ref="F26">IFERROR(MIN(IF(ReadLog[Pub. Year]&lt;&gt;"",IF(ReadLog[Pub. Year]&gt;0,ReadLog[Pub. Year]))),"")</f>
        <v>180</v>
      </c>
      <c r="G26" s="11"/>
      <c r="H26" s="11">
        <f>IFERROR(MAX(ReadLog[Pub. Year]),"")</f>
        <v>2024</v>
      </c>
      <c r="I26" s="11"/>
      <c r="J26" s="3">
        <f>IFERROR(MIN(ReadLog[Date Started]),"")</f>
        <v>45662</v>
      </c>
      <c r="K26" s="3"/>
      <c r="L26" s="11">
        <f ca="1">IFERROR(DATEDIF(MIN(ReadLog[Date Started]),TODAY(),"m"),0)</f>
        <v>14</v>
      </c>
      <c r="M26" s="11"/>
      <c r="N26" s="15"/>
    </row>
    <row r="27" spans="1:14" ht="21.75" customHeight="1" x14ac:dyDescent="0.25">
      <c r="A27" s="15"/>
      <c r="B27" s="8" t="s">
        <v>108</v>
      </c>
      <c r="C27" s="8"/>
      <c r="D27" s="8" t="s">
        <v>109</v>
      </c>
      <c r="E27" s="8"/>
      <c r="F27" s="8" t="s">
        <v>69</v>
      </c>
      <c r="G27" s="8"/>
      <c r="H27" s="8" t="s">
        <v>70</v>
      </c>
      <c r="I27" s="8"/>
      <c r="J27" s="8" t="s">
        <v>71</v>
      </c>
      <c r="K27" s="8"/>
      <c r="L27" s="8" t="s">
        <v>72</v>
      </c>
      <c r="M27" s="8"/>
      <c r="N27" s="15"/>
    </row>
    <row r="28" spans="1:14" ht="19.5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 ht="24" customHeight="1" x14ac:dyDescent="0.25">
      <c r="A29" s="15"/>
      <c r="B29" s="37" t="s">
        <v>139</v>
      </c>
      <c r="C29" s="37"/>
      <c r="D29" s="37"/>
      <c r="E29" s="37"/>
      <c r="F29" s="38">
        <v>2025</v>
      </c>
      <c r="G29" s="36"/>
      <c r="H29" s="36"/>
      <c r="I29" s="36"/>
      <c r="J29" s="36"/>
      <c r="K29" s="36"/>
      <c r="L29" s="36"/>
      <c r="M29" s="36"/>
      <c r="N29" s="15"/>
    </row>
    <row r="30" spans="1:14" ht="19.5" customHeight="1" x14ac:dyDescent="0.25">
      <c r="A30" s="15"/>
      <c r="B30" s="27" t="s">
        <v>73</v>
      </c>
      <c r="C30" s="27" t="s">
        <v>74</v>
      </c>
      <c r="D30" s="27" t="s">
        <v>75</v>
      </c>
      <c r="E30" s="27" t="s">
        <v>76</v>
      </c>
      <c r="F30" s="27" t="s">
        <v>77</v>
      </c>
      <c r="G30" s="27" t="s">
        <v>78</v>
      </c>
      <c r="H30" s="27" t="s">
        <v>79</v>
      </c>
      <c r="I30" s="27" t="s">
        <v>80</v>
      </c>
      <c r="J30" s="27" t="s">
        <v>81</v>
      </c>
      <c r="K30" s="27" t="s">
        <v>82</v>
      </c>
      <c r="L30" s="27" t="s">
        <v>83</v>
      </c>
      <c r="M30" s="27" t="s">
        <v>84</v>
      </c>
      <c r="N30" s="15"/>
    </row>
    <row r="31" spans="1:14" ht="27.75" customHeight="1" x14ac:dyDescent="0.25">
      <c r="A31" s="15"/>
      <c r="B31" s="28">
        <f>COUNTIFS(ReadLog[Date Started],"&gt;="&amp;DATE($F$29,1,1),ReadLog[Date Started],"&lt;"&amp;DATE($F$29,1+1,1))</f>
        <v>1</v>
      </c>
      <c r="C31" s="28">
        <f>COUNTIFS(ReadLog[Date Started],"&gt;="&amp;DATE($F$29,2,1),ReadLog[Date Started],"&lt;"&amp;DATE($F$29,2+1,1))</f>
        <v>1</v>
      </c>
      <c r="D31" s="28">
        <f>COUNTIFS(ReadLog[Date Started],"&gt;="&amp;DATE($F$29,3,1),ReadLog[Date Started],"&lt;"&amp;DATE($F$29,3+1,1))</f>
        <v>1</v>
      </c>
      <c r="E31" s="28">
        <f>COUNTIFS(ReadLog[Date Started],"&gt;="&amp;DATE($F$29,4,1),ReadLog[Date Started],"&lt;"&amp;DATE($F$29,4+1,1))</f>
        <v>2</v>
      </c>
      <c r="F31" s="28">
        <f>COUNTIFS(ReadLog[Date Started],"&gt;="&amp;DATE($F$29,5,1),ReadLog[Date Started],"&lt;"&amp;DATE($F$29,5+1,1))</f>
        <v>2</v>
      </c>
      <c r="G31" s="28">
        <f>COUNTIFS(ReadLog[Date Started],"&gt;="&amp;DATE($F$29,6,1),ReadLog[Date Started],"&lt;"&amp;DATE($F$29,6+1,1))</f>
        <v>1</v>
      </c>
      <c r="H31" s="28">
        <f>COUNTIFS(ReadLog[Date Started],"&gt;="&amp;DATE($F$29,7,1),ReadLog[Date Started],"&lt;"&amp;DATE($F$29,7+1,1))</f>
        <v>0</v>
      </c>
      <c r="I31" s="28">
        <f>COUNTIFS(ReadLog[Date Started],"&gt;="&amp;DATE($F$29,8,1),ReadLog[Date Started],"&lt;"&amp;DATE($F$29,8+1,1))</f>
        <v>0</v>
      </c>
      <c r="J31" s="28">
        <f>COUNTIFS(ReadLog[Date Started],"&gt;="&amp;DATE($F$29,9,1),ReadLog[Date Started],"&lt;"&amp;DATE($F$29,9+1,1))</f>
        <v>0</v>
      </c>
      <c r="K31" s="28">
        <f>COUNTIFS(ReadLog[Date Started],"&gt;="&amp;DATE($F$29,10,1),ReadLog[Date Started],"&lt;"&amp;DATE($F$29,10+1,1))</f>
        <v>0</v>
      </c>
      <c r="L31" s="28">
        <f>COUNTIFS(ReadLog[Date Started],"&gt;="&amp;DATE($F$29,11,1),ReadLog[Date Started],"&lt;"&amp;DATE($F$29,11+1,1))</f>
        <v>0</v>
      </c>
      <c r="M31" s="28">
        <f>COUNTIFS(ReadLog[Date Started],"&gt;="&amp;DATE($F$29,12,1),ReadLog[Date Started],"&lt;"&amp;DATE($F$29,12+1,1))</f>
        <v>0</v>
      </c>
      <c r="N31" s="15"/>
    </row>
    <row r="32" spans="1:14" ht="19.5" customHeight="1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ht="31.5" customHeight="1" x14ac:dyDescent="0.35">
      <c r="A33" s="15"/>
      <c r="B33" s="12" t="s">
        <v>85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5"/>
    </row>
    <row r="34" spans="1:14" ht="51.75" customHeight="1" x14ac:dyDescent="0.45">
      <c r="A34" s="15"/>
      <c r="B34" s="11" cm="1">
        <f t="array" ref="B34">IFERROR(SUMPRODUCT(1/COUNTIF(ReadLog[Lead Author Last Name],ReadLog[Lead Author Last Name])),0)</f>
        <v>8</v>
      </c>
      <c r="C34" s="11"/>
      <c r="D34" s="11" cm="1">
        <f t="array" ref="D34">IFERROR(MAX(COUNTIF(ReadLog[Lead Author Last Name],ReadLog[Lead Author Last Name])),0)</f>
        <v>1</v>
      </c>
      <c r="E34" s="11"/>
      <c r="F34" s="7" cm="1">
        <f t="array" ref="F34">IFERROR(1-(SUMPRODUCT(1/COUNTIF(ReadLog[Lead Author Last Name],ReadLog[Lead Author Last Name]))/COUNTA(ReadLog[Lead Author Last Name])),0)</f>
        <v>0</v>
      </c>
      <c r="G34" s="7"/>
      <c r="H34" s="11">
        <f>COUNTIF(ReadLog[Work Type],"Book")</f>
        <v>7</v>
      </c>
      <c r="I34" s="11"/>
      <c r="J34" s="11">
        <f>COUNTIF(ReadLog[Work Type],"Article")</f>
        <v>1</v>
      </c>
      <c r="K34" s="11"/>
      <c r="L34" s="11">
        <f>COUNTA(ReadLog[Work Type])-COUNTIF(ReadLog[Work Type],"Book")-COUNTIF(ReadLog[Work Type],"Article")</f>
        <v>0</v>
      </c>
      <c r="M34" s="11"/>
      <c r="N34" s="15"/>
    </row>
    <row r="35" spans="1:14" ht="21.75" customHeight="1" x14ac:dyDescent="0.25">
      <c r="A35" s="15"/>
      <c r="B35" s="8" t="s">
        <v>86</v>
      </c>
      <c r="C35" s="8"/>
      <c r="D35" s="8" t="s">
        <v>87</v>
      </c>
      <c r="E35" s="8"/>
      <c r="F35" s="8" t="s">
        <v>88</v>
      </c>
      <c r="G35" s="8"/>
      <c r="H35" s="8" t="s">
        <v>89</v>
      </c>
      <c r="I35" s="8"/>
      <c r="J35" s="8" t="s">
        <v>116</v>
      </c>
      <c r="K35" s="8"/>
      <c r="L35" s="8" t="s">
        <v>117</v>
      </c>
      <c r="M35" s="8"/>
      <c r="N35" s="15"/>
    </row>
    <row r="36" spans="1:14" ht="19.5" customHeight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ht="51.75" customHeight="1" x14ac:dyDescent="0.45">
      <c r="A37" s="15"/>
      <c r="B37" s="11">
        <f>COUNTIF(ReadLog[Format],"Print")</f>
        <v>5</v>
      </c>
      <c r="C37" s="11"/>
      <c r="D37" s="11">
        <f>COUNTIF(ReadLog[Format],"Digital")</f>
        <v>2</v>
      </c>
      <c r="E37" s="11"/>
      <c r="F37" s="11">
        <f>COUNTIF(ReadLog[Format],"Audio")</f>
        <v>1</v>
      </c>
      <c r="G37" s="11"/>
      <c r="H37" s="4">
        <f>IFERROR(COUNTIF(ReadLog[Format],"Print")/COUNTA(ReadLog[Format]),0)</f>
        <v>0.625</v>
      </c>
      <c r="I37" s="4"/>
      <c r="J37" s="4">
        <f>IFERROR(COUNTIF(ReadLog[Format],"Digital")/COUNTA(ReadLog[Format]),0)</f>
        <v>0.25</v>
      </c>
      <c r="K37" s="4"/>
      <c r="L37" s="4">
        <f>IFERROR(COUNTIF(ReadLog[Format],"Audio")/COUNTA(ReadLog[Format]),0)</f>
        <v>0.125</v>
      </c>
      <c r="M37" s="4"/>
      <c r="N37" s="15"/>
    </row>
    <row r="38" spans="1:14" ht="21.75" customHeight="1" x14ac:dyDescent="0.25">
      <c r="A38" s="15"/>
      <c r="B38" s="8" t="s">
        <v>21</v>
      </c>
      <c r="C38" s="8"/>
      <c r="D38" s="8" t="s">
        <v>114</v>
      </c>
      <c r="E38" s="8"/>
      <c r="F38" s="8" t="s">
        <v>115</v>
      </c>
      <c r="G38" s="8"/>
      <c r="H38" s="8" t="s">
        <v>90</v>
      </c>
      <c r="I38" s="8"/>
      <c r="J38" s="8" t="s">
        <v>118</v>
      </c>
      <c r="K38" s="8"/>
      <c r="L38" s="8" t="s">
        <v>119</v>
      </c>
      <c r="M38" s="8"/>
      <c r="N38" s="15"/>
    </row>
    <row r="39" spans="1:14" ht="19.5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ht="31.5" customHeight="1" x14ac:dyDescent="0.35">
      <c r="A40" s="15"/>
      <c r="B40" s="12" t="s">
        <v>91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5"/>
    </row>
    <row r="41" spans="1:14" ht="51.75" customHeight="1" x14ac:dyDescent="0.45">
      <c r="A41" s="15"/>
      <c r="B41" s="9">
        <f>IFERROR(AVERAGE(ReadLog[Rating (1–5)]),0)</f>
        <v>3.125</v>
      </c>
      <c r="C41" s="9"/>
      <c r="D41" s="11">
        <f>IFERROR(MAX(ReadLog[Rating (1–5)]),"")</f>
        <v>5</v>
      </c>
      <c r="E41" s="11"/>
      <c r="F41" s="11" cm="1">
        <f t="array" ref="F41">IFERROR(MIN(IF(ReadLog[Rating (1–5)]&lt;&gt;"",IF(ReadLog[Rating (1–5)]&gt;0,ReadLog[Rating (1–5)]))),"")</f>
        <v>1</v>
      </c>
      <c r="G41" s="11"/>
      <c r="H41" s="11">
        <f>COUNTIF(ReadLog[Rating (1–5)],5)</f>
        <v>2</v>
      </c>
      <c r="I41" s="11"/>
      <c r="J41" s="5">
        <f>COUNTIFS(ReadLog[Rating (1–5)],"&lt;3",ReadLog[Rating (1–5)],"&gt;0")</f>
        <v>3</v>
      </c>
      <c r="K41" s="5"/>
      <c r="L41" s="9">
        <f>IFERROR(AVERAGEIFS(ReadLog[Rating (1–5)],ReadLog[Completed?],"Y",ReadLog[Rating (1–5)],"&gt;0"),0)</f>
        <v>5</v>
      </c>
      <c r="M41" s="9"/>
      <c r="N41" s="15"/>
    </row>
    <row r="42" spans="1:14" ht="21.75" customHeight="1" x14ac:dyDescent="0.25">
      <c r="A42" s="15"/>
      <c r="B42" s="8" t="s">
        <v>92</v>
      </c>
      <c r="C42" s="8"/>
      <c r="D42" s="8" t="s">
        <v>93</v>
      </c>
      <c r="E42" s="8"/>
      <c r="F42" s="8" t="s">
        <v>94</v>
      </c>
      <c r="G42" s="8"/>
      <c r="H42" s="8" t="s">
        <v>95</v>
      </c>
      <c r="I42" s="8"/>
      <c r="J42" s="8" t="s">
        <v>96</v>
      </c>
      <c r="K42" s="8"/>
      <c r="L42" s="8" t="s">
        <v>97</v>
      </c>
      <c r="M42" s="8"/>
      <c r="N42" s="15"/>
    </row>
    <row r="43" spans="1:14" ht="19.5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ht="24" customHeight="1" x14ac:dyDescent="0.25">
      <c r="A44" s="15"/>
      <c r="B44" s="2" t="s">
        <v>98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5"/>
    </row>
    <row r="45" spans="1:14" ht="19.5" customHeight="1" x14ac:dyDescent="0.25">
      <c r="A45" s="15"/>
      <c r="B45" s="1" t="s">
        <v>99</v>
      </c>
      <c r="C45" s="1"/>
      <c r="D45" s="1" t="s">
        <v>100</v>
      </c>
      <c r="E45" s="1"/>
      <c r="F45" s="1" t="s">
        <v>101</v>
      </c>
      <c r="G45" s="1"/>
      <c r="H45" s="1" t="s">
        <v>102</v>
      </c>
      <c r="I45" s="1"/>
      <c r="J45" s="1" t="s">
        <v>103</v>
      </c>
      <c r="K45" s="1"/>
      <c r="L45" s="15"/>
      <c r="M45" s="15"/>
      <c r="N45" s="15"/>
    </row>
    <row r="46" spans="1:14" ht="36" customHeight="1" x14ac:dyDescent="0.25">
      <c r="A46" s="15"/>
      <c r="B46" s="29">
        <f>COUNTIF(ReadLog[Rating (1–5)],1)</f>
        <v>2</v>
      </c>
      <c r="C46" s="29"/>
      <c r="D46" s="29">
        <f>COUNTIF(ReadLog[Rating (1–5)],2)</f>
        <v>1</v>
      </c>
      <c r="E46" s="29"/>
      <c r="F46" s="29">
        <f>COUNTIF(ReadLog[Rating (1–5)],3)</f>
        <v>1</v>
      </c>
      <c r="G46" s="29"/>
      <c r="H46" s="29">
        <f>COUNTIF(ReadLog[Rating (1–5)],4)</f>
        <v>2</v>
      </c>
      <c r="I46" s="29"/>
      <c r="J46" s="29">
        <f>COUNTIF(ReadLog[Rating (1–5)],5)</f>
        <v>2</v>
      </c>
      <c r="K46" s="29"/>
      <c r="L46" s="15"/>
      <c r="M46" s="15"/>
      <c r="N46" s="15"/>
    </row>
    <row r="47" spans="1:14" ht="19.5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ht="19.5" customHeight="1" x14ac:dyDescent="0.25">
      <c r="A48" s="15"/>
      <c r="B48" s="30" t="s">
        <v>104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15"/>
    </row>
    <row r="49" spans="1:14" ht="19.5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9.5" customHeight="1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ht="19.5" customHeigh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ht="19.5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ht="19.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ht="19.5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ht="19.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ht="19.5" customHeight="1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ht="19.5" customHeight="1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ht="19.5" customHeight="1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ht="19.5" customHeight="1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ht="19.5" customHeight="1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ht="19.5" customHeight="1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ht="19.5" customHeight="1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ht="19.5" customHeight="1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ht="19.5" customHeight="1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1:14" ht="19.5" customHeight="1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ht="19.5" customHeight="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ht="19.5" customHeight="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9.5" customHeight="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spans="1:14" ht="19.5" customHeight="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 spans="1:14" ht="19.5" customHeight="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 spans="1:14" ht="19.5" customHeight="1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 spans="1:14" ht="19.5" customHeight="1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spans="1:14" ht="19.5" customHeight="1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1:14" ht="19.5" customHeight="1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 spans="1:14" ht="19.5" customHeight="1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 spans="1:14" ht="19.5" customHeight="1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1:14" ht="19.5" customHeight="1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 spans="1:14" ht="19.5" customHeight="1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 spans="1:14" ht="19.5" customHeight="1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 spans="1:14" ht="19.5" customHeight="1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 spans="1:14" ht="19.5" customHeight="1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spans="1:14" ht="19.5" customHeight="1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 spans="1:14" ht="19.5" customHeight="1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 spans="1:14" ht="19.5" customHeight="1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 spans="1:14" ht="19.5" customHeight="1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 spans="1:14" ht="19.5" customHeight="1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spans="1:14" ht="19.5" customHeight="1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spans="1:14" ht="19.5" customHeight="1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 spans="1:14" ht="19.5" customHeight="1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 spans="1:14" ht="19.5" customHeight="1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 spans="1:14" ht="19.5" customHeight="1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</sheetData>
  <mergeCells count="128">
    <mergeCell ref="B15:C15"/>
    <mergeCell ref="D15:E15"/>
    <mergeCell ref="F15:G15"/>
    <mergeCell ref="H15:I15"/>
    <mergeCell ref="J15:K15"/>
    <mergeCell ref="L15:M15"/>
    <mergeCell ref="B16:C16"/>
    <mergeCell ref="D16:E16"/>
    <mergeCell ref="F16:G16"/>
    <mergeCell ref="H16:I16"/>
    <mergeCell ref="J16:K16"/>
    <mergeCell ref="L16:M16"/>
    <mergeCell ref="B18:C18"/>
    <mergeCell ref="D18:E18"/>
    <mergeCell ref="F18:G18"/>
    <mergeCell ref="H18:I18"/>
    <mergeCell ref="B46:C46"/>
    <mergeCell ref="D46:E46"/>
    <mergeCell ref="F46:G46"/>
    <mergeCell ref="H46:I46"/>
    <mergeCell ref="J46:K46"/>
    <mergeCell ref="B48:M48"/>
    <mergeCell ref="B29:E29"/>
    <mergeCell ref="B42:C42"/>
    <mergeCell ref="D42:E42"/>
    <mergeCell ref="F42:G42"/>
    <mergeCell ref="H42:I42"/>
    <mergeCell ref="J42:K42"/>
    <mergeCell ref="L42:M42"/>
    <mergeCell ref="B44:M44"/>
    <mergeCell ref="B45:C45"/>
    <mergeCell ref="D45:E45"/>
    <mergeCell ref="F45:G45"/>
    <mergeCell ref="H45:I45"/>
    <mergeCell ref="J45:K45"/>
    <mergeCell ref="B38:C38"/>
    <mergeCell ref="D38:E38"/>
    <mergeCell ref="F38:G38"/>
    <mergeCell ref="H38:I38"/>
    <mergeCell ref="J38:K38"/>
    <mergeCell ref="L38:M38"/>
    <mergeCell ref="B40:M40"/>
    <mergeCell ref="B41:C41"/>
    <mergeCell ref="D41:E41"/>
    <mergeCell ref="F41:G41"/>
    <mergeCell ref="H41:I41"/>
    <mergeCell ref="J41:K41"/>
    <mergeCell ref="L41:M41"/>
    <mergeCell ref="B35:C35"/>
    <mergeCell ref="D35:E35"/>
    <mergeCell ref="F35:G35"/>
    <mergeCell ref="H35:I35"/>
    <mergeCell ref="J35:K35"/>
    <mergeCell ref="L35:M35"/>
    <mergeCell ref="B37:C37"/>
    <mergeCell ref="D37:E37"/>
    <mergeCell ref="F37:G37"/>
    <mergeCell ref="H37:I37"/>
    <mergeCell ref="J37:K37"/>
    <mergeCell ref="L37:M37"/>
    <mergeCell ref="B27:C27"/>
    <mergeCell ref="D27:E27"/>
    <mergeCell ref="F27:G27"/>
    <mergeCell ref="H27:I27"/>
    <mergeCell ref="J27:K27"/>
    <mergeCell ref="L27:M27"/>
    <mergeCell ref="B33:M33"/>
    <mergeCell ref="B34:C34"/>
    <mergeCell ref="D34:E34"/>
    <mergeCell ref="F34:G34"/>
    <mergeCell ref="H34:I34"/>
    <mergeCell ref="J34:K34"/>
    <mergeCell ref="L34:M34"/>
    <mergeCell ref="B23:C23"/>
    <mergeCell ref="D23:E23"/>
    <mergeCell ref="F23:G23"/>
    <mergeCell ref="H23:I23"/>
    <mergeCell ref="J23:K23"/>
    <mergeCell ref="L23:M23"/>
    <mergeCell ref="B25:M25"/>
    <mergeCell ref="B26:C26"/>
    <mergeCell ref="D26:E26"/>
    <mergeCell ref="F26:G26"/>
    <mergeCell ref="H26:I26"/>
    <mergeCell ref="J26:K26"/>
    <mergeCell ref="L26:M26"/>
    <mergeCell ref="B12:C12"/>
    <mergeCell ref="D12:E12"/>
    <mergeCell ref="F12:G12"/>
    <mergeCell ref="H12:I12"/>
    <mergeCell ref="J12:K12"/>
    <mergeCell ref="L12:M12"/>
    <mergeCell ref="B21:M21"/>
    <mergeCell ref="B22:C22"/>
    <mergeCell ref="D22:E22"/>
    <mergeCell ref="F22:G22"/>
    <mergeCell ref="H22:I22"/>
    <mergeCell ref="J22:K22"/>
    <mergeCell ref="L22:M22"/>
    <mergeCell ref="J18:K18"/>
    <mergeCell ref="L18:M18"/>
    <mergeCell ref="B19:C19"/>
    <mergeCell ref="D19:E19"/>
    <mergeCell ref="F19:G19"/>
    <mergeCell ref="H19:I19"/>
    <mergeCell ref="J19:K19"/>
    <mergeCell ref="L19:M19"/>
    <mergeCell ref="B9:C9"/>
    <mergeCell ref="D9:E9"/>
    <mergeCell ref="F9:G9"/>
    <mergeCell ref="H9:I9"/>
    <mergeCell ref="J9:K9"/>
    <mergeCell ref="L9:M9"/>
    <mergeCell ref="B11:C11"/>
    <mergeCell ref="D11:E11"/>
    <mergeCell ref="F11:G11"/>
    <mergeCell ref="H11:I11"/>
    <mergeCell ref="J11:K11"/>
    <mergeCell ref="L11:M11"/>
    <mergeCell ref="B2:G2"/>
    <mergeCell ref="B3:I3"/>
    <mergeCell ref="B6:M6"/>
    <mergeCell ref="B8:C8"/>
    <mergeCell ref="D8:E8"/>
    <mergeCell ref="F8:G8"/>
    <mergeCell ref="H8:I8"/>
    <mergeCell ref="J8:K8"/>
    <mergeCell ref="L8:M8"/>
  </mergeCells>
  <conditionalFormatting sqref="B31:M31">
    <cfRule type="dataBar" priority="2">
      <dataBar>
        <cfvo type="min"/>
        <cfvo type="max"/>
        <color rgb="FF8DC7FF"/>
      </dataBar>
      <extLst>
        <ext xmlns:x14="http://schemas.microsoft.com/office/spreadsheetml/2009/9/main" uri="{B025F937-C7B1-47D3-B67F-A62EFF666E3E}">
          <x14:id>{91B0275C-9BB9-4777-B859-38E016E58295}</x14:id>
        </ext>
      </extLst>
    </cfRule>
  </conditionalFormatting>
  <dataValidations count="1">
    <dataValidation type="list" allowBlank="1" showInputMessage="1" showErrorMessage="1" sqref="F29" xr:uid="{B0ECC33F-D1D9-4BD4-9CCA-1D0C9B90620E}">
      <formula1>"""2026,2025,2024,2023,2022,2021,2020"""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B0275C-9BB9-4777-B859-38E016E58295}">
            <x14:dataBar axisPosition="none">
              <x14:cfvo type="min"/>
              <x14:cfvo type="max"/>
              <x14:negativeFillColor rgb="FF8DC7FF"/>
            </x14:dataBar>
          </x14:cfRule>
          <xm:sqref>B31:M31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Reading Log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Brown, Evan</cp:lastModifiedBy>
  <cp:revision>0</cp:revision>
  <dcterms:created xsi:type="dcterms:W3CDTF">2026-03-22T13:28:18Z</dcterms:created>
  <dcterms:modified xsi:type="dcterms:W3CDTF">2026-03-22T14:19:20Z</dcterms:modified>
  <dc:language>en-US</dc:language>
</cp:coreProperties>
</file>