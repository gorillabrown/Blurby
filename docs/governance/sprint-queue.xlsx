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alog" sheetId="2" state="visible" r:id="rId2"/>
  </sheets>
  <definedNames/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strike val="1"/>
      <sz val="10"/>
    </font>
  </fonts>
  <fills count="8">
    <fill>
      <patternFill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003366"/>
        <bgColor rgb="FF333399"/>
      </patternFill>
    </fill>
    <fill>
      <patternFill patternType="solid">
        <fgColor rgb="FFE2EFDA"/>
        <bgColor rgb="FFD6E4F0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6E4F0"/>
      </patternFill>
    </fill>
    <fill>
      <patternFill patternType="solid">
        <fgColor rgb="FFFCE4D6"/>
        <bgColor rgb="FF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9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general" vertical="top" wrapText="1"/>
    </xf>
    <xf numFmtId="0" fontId="8" fillId="5" borderId="0" applyAlignment="1" pivotButton="0" quotePrefix="0" xfId="0">
      <alignment horizontal="general" vertical="top" wrapText="1"/>
    </xf>
    <xf numFmtId="0" fontId="8" fillId="6" borderId="0" applyAlignment="1" pivotButton="0" quotePrefix="0" xfId="0">
      <alignment horizontal="general" vertical="top" wrapText="1"/>
    </xf>
    <xf numFmtId="0" fontId="9" fillId="6" borderId="0" applyAlignment="1" pivotButton="0" quotePrefix="0" xfId="0">
      <alignment horizontal="general" vertical="top" wrapText="1"/>
    </xf>
    <xf numFmtId="0" fontId="8" fillId="7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9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general" vertical="top" wrapText="1"/>
    </xf>
    <xf numFmtId="0" fontId="8" fillId="5" borderId="0" applyAlignment="1" pivotButton="0" quotePrefix="0" xfId="0">
      <alignment horizontal="general" vertical="top" wrapText="1"/>
    </xf>
    <xf numFmtId="0" fontId="8" fillId="6" borderId="0" applyAlignment="1" pivotButton="0" quotePrefix="0" xfId="0">
      <alignment horizontal="general" vertical="top" wrapText="1"/>
    </xf>
    <xf numFmtId="0" fontId="9" fillId="6" borderId="0" applyAlignment="1" pivotButton="0" quotePrefix="0" xfId="0">
      <alignment horizontal="general" vertical="top" wrapText="1"/>
    </xf>
    <xf numFmtId="0" fontId="8" fillId="7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00336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printCatalog" displayName="SprintCatalog" ref="A1:O21" headerRowCount="1" totalsRowCount="0" totalsRowShown="0">
  <autoFilter ref="A1:O21"/>
  <tableColumns count="15">
    <tableColumn id="1" name="Seq"/>
    <tableColumn id="2" name="Sprint Code"/>
    <tableColumn id="3" name="Title"/>
    <tableColumn id="4" name="Phase"/>
    <tableColumn id="5" name="Stage"/>
    <tableColumn id="6" name="LOE"/>
    <tableColumn id="7" name="Dependencies"/>
    <tableColumn id="8" name="Implementation Status"/>
    <tableColumn id="9" name="Written Status"/>
    <tableColumn id="10" name="Description"/>
    <tableColumn id="11" name="Branch"/>
    <tableColumn id="12" name="Date Started"/>
    <tableColumn id="13" name="Date Completed"/>
    <tableColumn id="14" name="Close-Out File"/>
    <tableColumn id="15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H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12" min="1" max="1"/>
    <col width="16" customWidth="1" style="12" min="2" max="8"/>
  </cols>
  <sheetData>
    <row r="1" ht="17.25" customHeight="1" s="13">
      <c r="B1" s="14" t="inlineStr">
        <is>
          <t>TTS Architecture Completion — Sprint Dashboard</t>
        </is>
      </c>
    </row>
    <row r="2" ht="15" customHeight="1" s="13">
      <c r="B2" s="15" t="inlineStr">
        <is>
          <t>Total Sprints</t>
        </is>
      </c>
      <c r="C2" s="15" t="inlineStr">
        <is>
          <t>Completed</t>
        </is>
      </c>
      <c r="D2" s="15" t="inlineStr">
        <is>
          <t>Remaining</t>
        </is>
      </c>
      <c r="E2" s="15" t="inlineStr">
        <is>
          <t>% Complete</t>
        </is>
      </c>
      <c r="F2" s="15" t="inlineStr">
        <is>
          <t>Total LOE</t>
        </is>
      </c>
      <c r="G2" s="15" t="inlineStr">
        <is>
          <t>LOE Completed</t>
        </is>
      </c>
      <c r="H2" s="15" t="inlineStr">
        <is>
          <t>LOE Remaining</t>
        </is>
      </c>
    </row>
    <row r="3" ht="15" customHeight="1" s="13">
      <c r="B3" s="16">
        <f>COUNTA(SprintCatalog[Sprint Code])</f>
        <v/>
      </c>
      <c r="C3" s="16">
        <f>COUNTIF(SprintCatalog[Implementation Status],"Complete")</f>
        <v/>
      </c>
      <c r="D3" s="16">
        <f>B3-C3</f>
        <v/>
      </c>
      <c r="E3" s="17">
        <f>C3/B3</f>
        <v/>
      </c>
      <c r="F3" s="16">
        <f>SUM(SprintCatalog[LOE])</f>
        <v/>
      </c>
      <c r="G3" s="16">
        <f>SUMPRODUCT((SprintCatalog[Implementation Status]="Complete")*SprintCatalog[LOE])</f>
        <v/>
      </c>
      <c r="H3" s="16">
        <f>F3-G3</f>
        <v/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12" min="1" max="1"/>
    <col width="22" customWidth="1" style="12" min="2" max="2"/>
    <col width="35" customWidth="1" style="12" min="3" max="3"/>
    <col width="18" customWidth="1" style="12" min="4" max="4"/>
    <col width="25" customWidth="1" style="12" min="5" max="5"/>
    <col width="5" customWidth="1" style="12" min="6" max="6"/>
    <col width="25" customWidth="1" style="12" min="7" max="7"/>
    <col width="20" customWidth="1" style="12" min="8" max="8"/>
    <col width="15" customWidth="1" style="12" min="9" max="9"/>
    <col width="50" customWidth="1" style="12" min="10" max="10"/>
    <col width="35" customWidth="1" style="12" min="11" max="11"/>
    <col width="14" customWidth="1" style="12" min="12" max="13"/>
    <col width="50" customWidth="1" style="12" min="14" max="15"/>
  </cols>
  <sheetData>
    <row r="1" ht="23.25" customHeight="1" s="13">
      <c r="A1" s="18" t="inlineStr">
        <is>
          <t>Seq</t>
        </is>
      </c>
      <c r="B1" s="18" t="inlineStr">
        <is>
          <t>Sprint Code</t>
        </is>
      </c>
      <c r="C1" s="18" t="inlineStr">
        <is>
          <t>Title</t>
        </is>
      </c>
      <c r="D1" s="18" t="inlineStr">
        <is>
          <t>Phase</t>
        </is>
      </c>
      <c r="E1" s="18" t="inlineStr">
        <is>
          <t>Stage</t>
        </is>
      </c>
      <c r="F1" s="18" t="inlineStr">
        <is>
          <t>LOE</t>
        </is>
      </c>
      <c r="G1" s="18" t="inlineStr">
        <is>
          <t>Dependencies</t>
        </is>
      </c>
      <c r="H1" s="18" t="inlineStr">
        <is>
          <t>Implementation Status</t>
        </is>
      </c>
      <c r="I1" s="18" t="inlineStr">
        <is>
          <t>Written Status</t>
        </is>
      </c>
      <c r="J1" s="18" t="inlineStr">
        <is>
          <t>Description</t>
        </is>
      </c>
      <c r="K1" s="18" t="inlineStr">
        <is>
          <t>Branch</t>
        </is>
      </c>
      <c r="L1" s="18" t="inlineStr">
        <is>
          <t>Date Started</t>
        </is>
      </c>
      <c r="M1" s="18" t="inlineStr">
        <is>
          <t>Date Completed</t>
        </is>
      </c>
      <c r="N1" s="18" t="inlineStr">
        <is>
          <t>Close-Out File</t>
        </is>
      </c>
      <c r="O1" s="18" t="inlineStr">
        <is>
          <t>Notes</t>
        </is>
      </c>
    </row>
    <row r="2" ht="15" customHeight="1" s="13">
      <c r="A2" s="19" t="n"/>
      <c r="B2" s="19" t="inlineStr">
        <is>
          <t>KOKORO-DEEPEN-1</t>
        </is>
      </c>
      <c r="C2" s="19" t="inlineStr">
        <is>
          <t>Kokoro Readiness &amp; Preflight</t>
        </is>
      </c>
      <c r="D2" s="19" t="inlineStr">
        <is>
          <t>TTS Architecture</t>
        </is>
      </c>
      <c r="E2" s="19" t="inlineStr">
        <is>
          <t>Deepening</t>
        </is>
      </c>
      <c r="F2" s="19" t="n">
        <v>3</v>
      </c>
      <c r="G2" s="19" t="n"/>
      <c r="H2" s="19" t="inlineStr">
        <is>
          <t>Complete</t>
        </is>
      </c>
      <c r="I2" s="19" t="inlineStr">
        <is>
          <t>Full spec</t>
        </is>
      </c>
      <c r="J2" s="19" t="inlineStr">
        <is>
          <t>Kokoro readiness and preflight checks</t>
        </is>
      </c>
      <c r="K2" s="19" t="n"/>
      <c r="L2" s="19" t="n"/>
      <c r="M2" s="19" t="inlineStr">
        <is>
          <t>2026-05-11</t>
        </is>
      </c>
      <c r="N2" s="19" t="n"/>
      <c r="O2" s="19" t="n"/>
    </row>
    <row r="3" ht="15" customHeight="1" s="13">
      <c r="A3" s="19" t="n"/>
      <c r="B3" s="19" t="inlineStr">
        <is>
          <t>KOKORO-DEEPEN-2</t>
        </is>
      </c>
      <c r="C3" s="19" t="inlineStr">
        <is>
          <t>Natural Chunk Highlight</t>
        </is>
      </c>
      <c r="D3" s="19" t="inlineStr">
        <is>
          <t>TTS Architecture</t>
        </is>
      </c>
      <c r="E3" s="19" t="inlineStr">
        <is>
          <t>Deepening</t>
        </is>
      </c>
      <c r="F3" s="19" t="n">
        <v>3</v>
      </c>
      <c r="G3" s="19" t="n"/>
      <c r="H3" s="19" t="inlineStr">
        <is>
          <t>Complete</t>
        </is>
      </c>
      <c r="I3" s="19" t="inlineStr">
        <is>
          <t>Full spec</t>
        </is>
      </c>
      <c r="J3" s="19" t="inlineStr">
        <is>
          <t>Natural chunk highlighting for Kokoro TTS</t>
        </is>
      </c>
      <c r="K3" s="19" t="n"/>
      <c r="L3" s="19" t="n"/>
      <c r="M3" s="19" t="inlineStr">
        <is>
          <t>2026-05-11</t>
        </is>
      </c>
      <c r="N3" s="19" t="n"/>
      <c r="O3" s="19" t="n"/>
    </row>
    <row r="4" ht="15" customHeight="1" s="13">
      <c r="A4" s="19" t="n"/>
      <c r="B4" s="19" t="inlineStr">
        <is>
          <t>KOKORO-DEEPEN-3</t>
        </is>
      </c>
      <c r="C4" s="19" t="inlineStr">
        <is>
          <t>Voice Mixing Feasibility</t>
        </is>
      </c>
      <c r="D4" s="19" t="inlineStr">
        <is>
          <t>TTS Architecture</t>
        </is>
      </c>
      <c r="E4" s="19" t="inlineStr">
        <is>
          <t>Deepening</t>
        </is>
      </c>
      <c r="F4" s="19" t="n">
        <v>1</v>
      </c>
      <c r="G4" s="19" t="n"/>
      <c r="H4" s="19" t="inlineStr">
        <is>
          <t>Complete</t>
        </is>
      </c>
      <c r="I4" s="19" t="inlineStr">
        <is>
          <t>Full spec</t>
        </is>
      </c>
      <c r="J4" s="19" t="inlineStr">
        <is>
          <t>Voice mixing feasibility study</t>
        </is>
      </c>
      <c r="K4" s="19" t="n"/>
      <c r="L4" s="19" t="n"/>
      <c r="M4" s="19" t="inlineStr">
        <is>
          <t>2026-05-11</t>
        </is>
      </c>
      <c r="N4" s="19" t="n"/>
      <c r="O4" s="19" t="n"/>
    </row>
    <row r="5" ht="15" customHeight="1" s="13">
      <c r="A5" s="19" t="n"/>
      <c r="B5" s="19" t="inlineStr">
        <is>
          <t>TTS-REGISTRY-1</t>
        </is>
      </c>
      <c r="C5" s="19" t="inlineStr">
        <is>
          <t>Provider Capability Registry</t>
        </is>
      </c>
      <c r="D5" s="19" t="inlineStr">
        <is>
          <t>TTS Architecture</t>
        </is>
      </c>
      <c r="E5" s="19" t="inlineStr">
        <is>
          <t>Foundation</t>
        </is>
      </c>
      <c r="F5" s="19" t="n">
        <v>3</v>
      </c>
      <c r="G5" s="19" t="n"/>
      <c r="H5" s="19" t="inlineStr">
        <is>
          <t>Complete</t>
        </is>
      </c>
      <c r="I5" s="19" t="inlineStr">
        <is>
          <t>Full spec</t>
        </is>
      </c>
      <c r="J5" s="19" t="inlineStr">
        <is>
          <t>Provider capability truth in ttsProviderRegistry</t>
        </is>
      </c>
      <c r="K5" s="19" t="n"/>
      <c r="L5" s="19" t="n"/>
      <c r="M5" s="19" t="inlineStr">
        <is>
          <t>2026-05-12</t>
        </is>
      </c>
      <c r="N5" s="19" t="inlineStr">
        <is>
          <t>ROADMAP_ARCHIVE_2026-05-14.md</t>
        </is>
      </c>
      <c r="O5" s="19" t="n"/>
    </row>
    <row r="6" ht="15" customHeight="1" s="13">
      <c r="A6" s="19" t="n"/>
      <c r="B6" s="19" t="inlineStr">
        <is>
          <t>TTS-NORMALIZE-1</t>
        </is>
      </c>
      <c r="C6" s="19" t="inlineStr">
        <is>
          <t>Segment Normalizer</t>
        </is>
      </c>
      <c r="D6" s="19" t="inlineStr">
        <is>
          <t>TTS Architecture</t>
        </is>
      </c>
      <c r="E6" s="19" t="inlineStr">
        <is>
          <t>Foundation</t>
        </is>
      </c>
      <c r="F6" s="19" t="n">
        <v>3</v>
      </c>
      <c r="G6" s="19" t="n"/>
      <c r="H6" s="19" t="inlineStr">
        <is>
          <t>Complete</t>
        </is>
      </c>
      <c r="I6" s="19" t="inlineStr">
        <is>
          <t>Full spec</t>
        </is>
      </c>
      <c r="J6" s="19" t="inlineStr">
        <is>
          <t>English-first spoken-text normalization</t>
        </is>
      </c>
      <c r="K6" s="19" t="n"/>
      <c r="L6" s="19" t="n"/>
      <c r="M6" s="19" t="inlineStr">
        <is>
          <t>2026-05-13</t>
        </is>
      </c>
      <c r="N6" s="19" t="inlineStr">
        <is>
          <t>ROADMAP_ARCHIVE_2026-05-14.md</t>
        </is>
      </c>
      <c r="O6" s="19" t="n"/>
    </row>
    <row r="7" ht="23.25" customHeight="1" s="13">
      <c r="A7" s="19" t="n"/>
      <c r="B7" s="19" t="inlineStr">
        <is>
          <t>TTS-CACHE-TIMING-1</t>
        </is>
      </c>
      <c r="C7" s="19" t="inlineStr">
        <is>
          <t>Cache Identity &amp; Timing Sidecars</t>
        </is>
      </c>
      <c r="D7" s="19" t="inlineStr">
        <is>
          <t>TTS Architecture</t>
        </is>
      </c>
      <c r="E7" s="19" t="inlineStr">
        <is>
          <t>Foundation</t>
        </is>
      </c>
      <c r="F7" s="19" t="n">
        <v>3</v>
      </c>
      <c r="G7" s="19" t="n"/>
      <c r="H7" s="19" t="inlineStr">
        <is>
          <t>Complete</t>
        </is>
      </c>
      <c r="I7" s="19" t="inlineStr">
        <is>
          <t>Full spec</t>
        </is>
      </c>
      <c r="J7" s="19" t="inlineStr">
        <is>
          <t>Schema-versioned v2 cache identities and atomic timing sidecars</t>
        </is>
      </c>
      <c r="K7" s="19" t="n"/>
      <c r="L7" s="19" t="n"/>
      <c r="M7" s="19" t="inlineStr">
        <is>
          <t>2026-05-13</t>
        </is>
      </c>
      <c r="N7" s="19" t="inlineStr">
        <is>
          <t>ROADMAP_ARCHIVE_2026-05-14.md</t>
        </is>
      </c>
      <c r="O7" s="19" t="n"/>
    </row>
    <row r="8" ht="15" customHeight="1" s="13">
      <c r="A8" s="19" t="n"/>
      <c r="B8" s="19" t="inlineStr">
        <is>
          <t>TTS-SYNC-1</t>
        </is>
      </c>
      <c r="C8" s="19" t="inlineStr">
        <is>
          <t>Highlight Sync Controller</t>
        </is>
      </c>
      <c r="D8" s="19" t="inlineStr">
        <is>
          <t>TTS Architecture</t>
        </is>
      </c>
      <c r="E8" s="19" t="inlineStr">
        <is>
          <t>Sync &amp; Diagnostics</t>
        </is>
      </c>
      <c r="F8" s="19" t="n">
        <v>8</v>
      </c>
      <c r="G8" s="19" t="inlineStr">
        <is>
          <t>TTS-CACHE-TIMING-1</t>
        </is>
      </c>
      <c r="H8" s="19" t="inlineStr">
        <is>
          <t>Complete</t>
        </is>
      </c>
      <c r="I8" s="19" t="inlineStr">
        <is>
          <t>Full spec</t>
        </is>
      </c>
      <c r="J8" s="19" t="inlineStr">
        <is>
          <t>Centralized narration highlight sync policy</t>
        </is>
      </c>
      <c r="K8" s="19" t="inlineStr">
        <is>
          <t>sprint/tts-sync-1-highlight-controller</t>
        </is>
      </c>
      <c r="L8" s="19" t="n"/>
      <c r="M8" s="19" t="inlineStr">
        <is>
          <t>2026-05-15</t>
        </is>
      </c>
      <c r="N8" s="19" t="inlineStr">
        <is>
          <t>docs/Close-Outs/CloseOut.TTS-SYNC-1.2026-05-15.md</t>
        </is>
      </c>
      <c r="O8" s="19" t="n"/>
    </row>
    <row r="9" ht="15" customHeight="1" s="13">
      <c r="A9" s="19" t="n"/>
      <c r="B9" s="19" t="inlineStr">
        <is>
          <t>TTS-DIAG-1</t>
        </is>
      </c>
      <c r="C9" s="19" t="inlineStr">
        <is>
          <t>Narration Diagnostics Bundle</t>
        </is>
      </c>
      <c r="D9" s="19" t="inlineStr">
        <is>
          <t>TTS Architecture</t>
        </is>
      </c>
      <c r="E9" s="19" t="inlineStr">
        <is>
          <t>Sync &amp; Diagnostics</t>
        </is>
      </c>
      <c r="F9" s="19" t="n">
        <v>3</v>
      </c>
      <c r="G9" s="19" t="inlineStr">
        <is>
          <t>TTS-SYNC-1</t>
        </is>
      </c>
      <c r="H9" s="19" t="inlineStr">
        <is>
          <t>Complete</t>
        </is>
      </c>
      <c r="I9" s="19" t="inlineStr">
        <is>
          <t>Full spec</t>
        </is>
      </c>
      <c r="J9" s="19" t="inlineStr">
        <is>
          <t>Provider-neutral diagnostics bundle</t>
        </is>
      </c>
      <c r="K9" s="19" t="inlineStr">
        <is>
          <t>sprint/tts-diag-1-diagnostics-bundle</t>
        </is>
      </c>
      <c r="L9" s="19" t="n"/>
      <c r="M9" s="19" t="inlineStr">
        <is>
          <t>2026-05-15</t>
        </is>
      </c>
      <c r="N9" s="19" t="inlineStr">
        <is>
          <t>docs/Close-Outs/CloseOut.TTS-DIAG-1.2026-05-15.md</t>
        </is>
      </c>
      <c r="O9" s="19" t="n"/>
    </row>
    <row r="10" ht="15" customHeight="1" s="13">
      <c r="A10" s="20" t="n"/>
      <c r="B10" s="20" t="inlineStr">
        <is>
          <t>ENGINE-DORMANCY-1</t>
        </is>
      </c>
      <c r="C10" s="20" t="inlineStr">
        <is>
          <t>Disable MOSS-Nano &amp; Pocket TTS</t>
        </is>
      </c>
      <c r="D10" s="20" t="inlineStr">
        <is>
          <t>TTS Architecture</t>
        </is>
      </c>
      <c r="E10" s="20" t="inlineStr">
        <is>
          <t>Consolidation</t>
        </is>
      </c>
      <c r="F10" s="20" t="n">
        <v>1</v>
      </c>
      <c r="G10" s="20" t="inlineStr">
        <is>
          <t>None</t>
        </is>
      </c>
      <c r="H10" s="20" t="inlineStr">
        <is>
          <t>Complete</t>
        </is>
      </c>
      <c r="I10" s="20" t="inlineStr">
        <is>
          <t>Full spec</t>
        </is>
      </c>
      <c r="J10" s="20" t="inlineStr">
        <is>
          <t>Disable dormant sidecar engines</t>
        </is>
      </c>
      <c r="K10" s="20" t="n"/>
      <c r="L10" s="20" t="n"/>
      <c r="M10" s="20" t="inlineStr">
        <is>
          <t>2026-05-16</t>
        </is>
      </c>
      <c r="N10" s="20" t="inlineStr">
        <is>
          <t>docs/governance/close-outs/CloseOut.ENGINE-DORMANCY-1.2026-05-16.md</t>
        </is>
      </c>
      <c r="O10" s="20" t="inlineStr">
        <is>
          <t>Dormant at settings/IPC; code preserved; Nano probes opt-in.</t>
        </is>
      </c>
    </row>
    <row r="11" ht="15" customHeight="1" s="13">
      <c r="A11" s="20" t="n"/>
      <c r="B11" s="20" t="inlineStr">
        <is>
          <t>TTS-INTEGRATE-1</t>
        </is>
      </c>
      <c r="C11" s="20" t="inlineStr">
        <is>
          <t>Integrate Sync &amp; Diagnostics</t>
        </is>
      </c>
      <c r="D11" s="20" t="inlineStr">
        <is>
          <t>TTS Architecture</t>
        </is>
      </c>
      <c r="E11" s="20" t="inlineStr">
        <is>
          <t>Consolidation</t>
        </is>
      </c>
      <c r="F11" s="20" t="n">
        <v>2</v>
      </c>
      <c r="G11" s="20" t="inlineStr">
        <is>
          <t>ENGINE-DORMANCY-1</t>
        </is>
      </c>
      <c r="H11" s="20" t="inlineStr">
        <is>
          <t>Complete</t>
        </is>
      </c>
      <c r="I11" s="20" t="inlineStr">
        <is>
          <t>Full spec</t>
        </is>
      </c>
      <c r="J11" s="20" t="inlineStr">
        <is>
          <t>Merge sync and diagnostics branches to main</t>
        </is>
      </c>
      <c r="K11" s="20" t="n"/>
      <c r="L11" s="20" t="n"/>
      <c r="M11" s="20" t="n"/>
      <c r="N11" s="20" t="n"/>
      <c r="O11" s="20" t="inlineStr">
        <is>
          <t>Dispatch-ready; dormancy gate complete.</t>
        </is>
      </c>
    </row>
    <row r="12" ht="15" customHeight="1" s="13">
      <c r="A12" s="12" t="n"/>
      <c r="B12" s="12" t="inlineStr">
        <is>
          <t>TTS-CACHE-HARDEN-1</t>
        </is>
      </c>
      <c r="C12" s="12" t="inlineStr">
        <is>
          <t>Cache/Pipeline Hardening</t>
        </is>
      </c>
      <c r="D12" s="12" t="inlineStr">
        <is>
          <t>TTS Architecture</t>
        </is>
      </c>
      <c r="E12" s="12" t="inlineStr">
        <is>
          <t>Consolidation</t>
        </is>
      </c>
      <c r="F12" s="12" t="n">
        <v>2</v>
      </c>
      <c r="G12" s="12" t="inlineStr">
        <is>
          <t>TTS-INTEGRATE-1</t>
        </is>
      </c>
      <c r="H12" s="12" t="inlineStr">
        <is>
          <t>Complete</t>
        </is>
      </c>
      <c r="I12" s="12" t="inlineStr">
        <is>
          <t>Full spec</t>
        </is>
      </c>
      <c r="J12" s="12" t="inlineStr">
        <is>
          <t>Cache-hit timing parity, type harmonization, IPC validation</t>
        </is>
      </c>
      <c r="O12" s="12" t="inlineStr">
        <is>
          <t>Findings-driven: impl review A8 + lit review §4.6</t>
        </is>
      </c>
    </row>
    <row r="13" ht="15" customHeight="1" s="13">
      <c r="A13" s="20" t="n">
        <v>1</v>
      </c>
      <c r="B13" s="20" t="inlineStr">
        <is>
          <t>TTS-EVENT-SYNC-1</t>
        </is>
      </c>
      <c r="C13" s="20" t="inlineStr">
        <is>
          <t>Event-Driven Word Sync</t>
        </is>
      </c>
      <c r="D13" s="20" t="inlineStr">
        <is>
          <t>TTS Architecture</t>
        </is>
      </c>
      <c r="E13" s="20" t="inlineStr">
        <is>
          <t>Stage 2: Event-Driven Sync</t>
        </is>
      </c>
      <c r="F13" s="20" t="n">
        <v>3</v>
      </c>
      <c r="G13" s="20" t="inlineStr">
        <is>
          <t>TTS-CACHE-HARDEN-1 (completed 2026-05-16)</t>
        </is>
      </c>
      <c r="H13" s="20" t="inlineStr">
        <is>
          <t>Queued</t>
        </is>
      </c>
      <c r="I13" s="20" t="inlineStr">
        <is>
          <t>Full spec</t>
        </is>
      </c>
      <c r="J13" s="20" t="inlineStr">
        <is>
          <t>Event-driven word sync from research</t>
        </is>
      </c>
      <c r="K13" s="20" t="n"/>
      <c r="L13" s="20" t="n"/>
      <c r="M13" s="20" t="n"/>
      <c r="N13" s="20" t="n"/>
      <c r="O13" s="20" t="inlineStr">
        <is>
          <t>Research: readest + RealtimeTTS + sioyek</t>
        </is>
      </c>
    </row>
    <row r="14" ht="15" customHeight="1" s="13">
      <c r="A14" s="20" t="n">
        <v>2</v>
      </c>
      <c r="B14" s="20" t="inlineStr">
        <is>
          <t>NORMALIZER-ENRICH-1</t>
        </is>
      </c>
      <c r="C14" s="20" t="inlineStr">
        <is>
          <t>Normalizer Gap Fill</t>
        </is>
      </c>
      <c r="D14" s="20" t="inlineStr">
        <is>
          <t>TTS Architecture</t>
        </is>
      </c>
      <c r="E14" s="20" t="inlineStr">
        <is>
          <t>Stage 2: Normalizer Enrichment</t>
        </is>
      </c>
      <c r="F14" s="20" t="n">
        <v>3</v>
      </c>
      <c r="G14" s="20" t="inlineStr">
        <is>
          <t>TTS-EVENT-SYNC-1</t>
        </is>
      </c>
      <c r="H14" s="20" t="inlineStr">
        <is>
          <t>Queued</t>
        </is>
      </c>
      <c r="I14" s="20" t="inlineStr">
        <is>
          <t>Full spec</t>
        </is>
      </c>
      <c r="J14" s="20" t="inlineStr">
        <is>
          <t>Fill normalizer gaps from abogen research</t>
        </is>
      </c>
      <c r="K14" s="20" t="n"/>
      <c r="L14" s="20" t="n"/>
      <c r="M14" s="20" t="n"/>
      <c r="N14" s="20" t="n"/>
      <c r="O14" s="20" t="inlineStr">
        <is>
          <t>Research: abogen</t>
        </is>
      </c>
    </row>
    <row r="15" ht="15" customHeight="1" s="13">
      <c r="A15" s="20" t="n">
        <v>3</v>
      </c>
      <c r="B15" s="20" t="inlineStr">
        <is>
          <t>TTS-RENDER-MAP-1</t>
        </is>
      </c>
      <c r="C15" s="20" t="inlineStr">
        <is>
          <t>Word Position Index</t>
        </is>
      </c>
      <c r="D15" s="20" t="inlineStr">
        <is>
          <t>TTS Architecture</t>
        </is>
      </c>
      <c r="E15" s="20" t="inlineStr">
        <is>
          <t>Stage 2: Word Position Index</t>
        </is>
      </c>
      <c r="F15" s="20" t="n">
        <v>3</v>
      </c>
      <c r="G15" s="20" t="inlineStr">
        <is>
          <t>NORMALIZER-ENRICH-1</t>
        </is>
      </c>
      <c r="H15" s="20" t="inlineStr">
        <is>
          <t>Queued</t>
        </is>
      </c>
      <c r="I15" s="20" t="inlineStr">
        <is>
          <t>Full spec</t>
        </is>
      </c>
      <c r="J15" s="20" t="inlineStr">
        <is>
          <t>Sioyek-inspired word position index</t>
        </is>
      </c>
      <c r="K15" s="20" t="n"/>
      <c r="L15" s="20" t="n"/>
      <c r="M15" s="20" t="n"/>
      <c r="N15" s="20" t="n"/>
      <c r="O15" s="20" t="inlineStr">
        <is>
          <t>Research: sioyek</t>
        </is>
      </c>
    </row>
    <row r="16" ht="15" customHeight="1" s="13">
      <c r="A16" s="20" t="n">
        <v>4</v>
      </c>
      <c r="B16" s="20" t="inlineStr">
        <is>
          <t>TTS-PIPELINE-1</t>
        </is>
      </c>
      <c r="C16" s="20" t="inlineStr">
        <is>
          <t>Pipeline Integration Tests</t>
        </is>
      </c>
      <c r="D16" s="20" t="inlineStr">
        <is>
          <t>TTS Architecture</t>
        </is>
      </c>
      <c r="E16" s="20" t="inlineStr">
        <is>
          <t>Stage 3: Pipeline Truth</t>
        </is>
      </c>
      <c r="F16" s="20" t="n">
        <v>1</v>
      </c>
      <c r="G16" s="20" t="inlineStr">
        <is>
          <t>TTS-RENDER-MAP-1</t>
        </is>
      </c>
      <c r="H16" s="20" t="inlineStr">
        <is>
          <t>Queued</t>
        </is>
      </c>
      <c r="I16" s="20" t="inlineStr">
        <is>
          <t>Full spec</t>
        </is>
      </c>
      <c r="J16" s="20" t="inlineStr">
        <is>
          <t>End-to-end pipeline integration tests</t>
        </is>
      </c>
      <c r="K16" s="20" t="n"/>
      <c r="L16" s="20" t="n"/>
      <c r="M16" s="20" t="n"/>
      <c r="N16" s="20" t="n"/>
      <c r="O16" s="20" t="n"/>
    </row>
    <row r="17" ht="15" customHeight="1" s="13">
      <c r="A17" s="20" t="n">
        <v>5</v>
      </c>
      <c r="B17" s="20" t="inlineStr">
        <is>
          <t>TTS-ARCH-DOC-1</t>
        </is>
      </c>
      <c r="C17" s="20" t="inlineStr">
        <is>
          <t>Architecture Decisions Doc</t>
        </is>
      </c>
      <c r="D17" s="20" t="inlineStr">
        <is>
          <t>TTS Architecture</t>
        </is>
      </c>
      <c r="E17" s="20" t="inlineStr">
        <is>
          <t>Stage 4: Governance</t>
        </is>
      </c>
      <c r="F17" s="20" t="n">
        <v>1</v>
      </c>
      <c r="G17" s="20" t="inlineStr">
        <is>
          <t>All above</t>
        </is>
      </c>
      <c r="H17" s="20" t="inlineStr">
        <is>
          <t>Queued</t>
        </is>
      </c>
      <c r="I17" s="20" t="inlineStr">
        <is>
          <t>Full spec</t>
        </is>
      </c>
      <c r="J17" s="20" t="inlineStr">
        <is>
          <t>Architecture decision records for TTS</t>
        </is>
      </c>
      <c r="K17" s="20" t="n"/>
      <c r="L17" s="20" t="n"/>
      <c r="M17" s="20" t="n"/>
      <c r="N17" s="20" t="n"/>
      <c r="O17" s="20" t="n"/>
    </row>
    <row r="18" ht="15" customHeight="1" s="13">
      <c r="A18" s="21" t="n"/>
      <c r="B18" s="22" t="inlineStr">
        <is>
          <t>TEST-HARNESS-1</t>
        </is>
      </c>
      <c r="C18" s="21" t="inlineStr">
        <is>
          <t>Test Harness Stability</t>
        </is>
      </c>
      <c r="D18" s="21" t="inlineStr">
        <is>
          <t>TTS Architecture</t>
        </is>
      </c>
      <c r="E18" s="21" t="n"/>
      <c r="F18" s="21" t="n">
        <v>2</v>
      </c>
      <c r="G18" s="21" t="n"/>
      <c r="H18" s="21" t="inlineStr">
        <is>
          <t>Dissolved</t>
        </is>
      </c>
      <c r="I18" s="21" t="n"/>
      <c r="J18" s="21" t="inlineStr">
        <is>
          <t>Test harness stability work</t>
        </is>
      </c>
      <c r="K18" s="21" t="n"/>
      <c r="L18" s="21" t="n"/>
      <c r="M18" s="21" t="n"/>
      <c r="N18" s="21" t="n"/>
      <c r="O18" s="21" t="inlineStr">
        <is>
          <t>Dissolved 2026-05-15 — Nano probes irrelevant</t>
        </is>
      </c>
    </row>
    <row r="19" ht="23.25" customHeight="1" s="13">
      <c r="A19" s="21" t="n"/>
      <c r="B19" s="22" t="inlineStr">
        <is>
          <t>TTS-CANARY-1</t>
        </is>
      </c>
      <c r="C19" s="21" t="inlineStr">
        <is>
          <t>Engine Readiness Probes</t>
        </is>
      </c>
      <c r="D19" s="21" t="inlineStr">
        <is>
          <t>TTS Architecture</t>
        </is>
      </c>
      <c r="E19" s="21" t="n"/>
      <c r="F19" s="21" t="n">
        <v>1</v>
      </c>
      <c r="G19" s="21" t="n"/>
      <c r="H19" s="21" t="inlineStr">
        <is>
          <t>Dissolved</t>
        </is>
      </c>
      <c r="I19" s="21" t="n"/>
      <c r="J19" s="21" t="inlineStr">
        <is>
          <t>Engine readiness probe system</t>
        </is>
      </c>
      <c r="K19" s="21" t="n"/>
      <c r="L19" s="21" t="n"/>
      <c r="M19" s="21" t="n"/>
      <c r="N19" s="21" t="n"/>
      <c r="O19" s="21" t="inlineStr">
        <is>
          <t>Dissolved 2026-05-15 — sidecar engines dormant</t>
        </is>
      </c>
    </row>
    <row r="20" ht="15" customHeight="1" s="13">
      <c r="A20" s="21" t="n"/>
      <c r="B20" s="22" t="inlineStr">
        <is>
          <t>TTS-REGISTRY-DISPATCH-1</t>
        </is>
      </c>
      <c r="C20" s="21" t="inlineStr">
        <is>
          <t>Registry-Driven Dispatch</t>
        </is>
      </c>
      <c r="D20" s="21" t="inlineStr">
        <is>
          <t>TTS Architecture</t>
        </is>
      </c>
      <c r="E20" s="21" t="n"/>
      <c r="F20" s="21" t="n">
        <v>3</v>
      </c>
      <c r="G20" s="21" t="n"/>
      <c r="H20" s="21" t="inlineStr">
        <is>
          <t>Dissolved</t>
        </is>
      </c>
      <c r="I20" s="21" t="n"/>
      <c r="J20" s="21" t="inlineStr">
        <is>
          <t>Registry-driven engine dispatch</t>
        </is>
      </c>
      <c r="K20" s="21" t="n"/>
      <c r="L20" s="21" t="n"/>
      <c r="M20" s="21" t="n"/>
      <c r="N20" s="21" t="n"/>
      <c r="O20" s="21" t="inlineStr">
        <is>
          <t>Dissolved 2026-05-15 — single active engine</t>
        </is>
      </c>
    </row>
    <row r="21" ht="15" customHeight="1" s="13">
      <c r="A21" s="23" t="n"/>
      <c r="B21" s="23" t="inlineStr">
        <is>
          <t>KOKORO-EXPORT-1</t>
        </is>
      </c>
      <c r="C21" s="23" t="inlineStr">
        <is>
          <t>Long-Form Audio Export</t>
        </is>
      </c>
      <c r="D21" s="23" t="inlineStr">
        <is>
          <t>TTS Architecture</t>
        </is>
      </c>
      <c r="E21" s="23" t="n"/>
      <c r="F21" s="23" t="n">
        <v>8</v>
      </c>
      <c r="G21" s="23" t="n"/>
      <c r="H21" s="23" t="inlineStr">
        <is>
          <t>Deferred</t>
        </is>
      </c>
      <c r="I21" s="23" t="n"/>
      <c r="J21" s="23" t="inlineStr">
        <is>
          <t>Long-form audio export from Kokoro</t>
        </is>
      </c>
      <c r="K21" s="23" t="n"/>
      <c r="L21" s="23" t="n"/>
      <c r="M21" s="23" t="n"/>
      <c r="N21" s="23" t="n"/>
      <c r="O21" s="23" t="inlineStr">
        <is>
          <t>Post-conveyor, deferred until TTS Architecture completes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2026-05-15T18:19:24Z</dcterms:created>
  <dcterms:modified xmlns:dcterms="http://purl.org/dc/terms/" xmlns:xsi="http://www.w3.org/2001/XMLSchema-instance" xsi:type="dcterms:W3CDTF">2026-05-16T18:01:53Z</dcterms:modified>
  <cp:revision>0</cp:revision>
</cp:coreProperties>
</file>