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Cata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<sst xmlns="http://schemas.openxmlformats.org/spreadsheetml/2006/main" count="190" uniqueCount="118">
  <si>
    <t xml:space="preserve">TTS Architecture Completion — Sprint Dashboard</t>
  </si>
  <si>
    <t xml:space="preserve">Total Sprints</t>
  </si>
  <si>
    <t xml:space="preserve">Completed</t>
  </si>
  <si>
    <t xml:space="preserve">Remaining</t>
  </si>
  <si>
    <t xml:space="preserve">% Complete</t>
  </si>
  <si>
    <t xml:space="preserve">Total LOE</t>
  </si>
  <si>
    <t xml:space="preserve">LOE Completed</t>
  </si>
  <si>
    <t xml:space="preserve">LOE Remaining</t>
  </si>
  <si>
    <t xml:space="preserve">Seq</t>
  </si>
  <si>
    <t xml:space="preserve">Sprint Code</t>
  </si>
  <si>
    <t xml:space="preserve">Title</t>
  </si>
  <si>
    <t xml:space="preserve">Phase</t>
  </si>
  <si>
    <t xml:space="preserve">Stage</t>
  </si>
  <si>
    <t xml:space="preserve">LOE</t>
  </si>
  <si>
    <t xml:space="preserve">Dependencies</t>
  </si>
  <si>
    <t xml:space="preserve">Implementation Status</t>
  </si>
  <si>
    <t xml:space="preserve">Written Status</t>
  </si>
  <si>
    <t xml:space="preserve">Description</t>
  </si>
  <si>
    <t xml:space="preserve">Branch</t>
  </si>
  <si>
    <t xml:space="preserve">Date Started</t>
  </si>
  <si>
    <t xml:space="preserve">Date Completed</t>
  </si>
  <si>
    <t xml:space="preserve">Close-Out File</t>
  </si>
  <si>
    <t xml:space="preserve">Notes</t>
  </si>
  <si>
    <t xml:space="preserve">KOKORO-DEEPEN-1</t>
  </si>
  <si>
    <t xml:space="preserve">Kokoro Readiness &amp; Preflight</t>
  </si>
  <si>
    <t xml:space="preserve">TTS Architecture</t>
  </si>
  <si>
    <t xml:space="preserve">Deepening</t>
  </si>
  <si>
    <t xml:space="preserve">Complete</t>
  </si>
  <si>
    <t xml:space="preserve">Full spec</t>
  </si>
  <si>
    <t xml:space="preserve">Kokoro readiness and preflight checks</t>
  </si>
  <si>
    <t xml:space="preserve">2026-05-11</t>
  </si>
  <si>
    <t xml:space="preserve">KOKORO-DEEPEN-2</t>
  </si>
  <si>
    <t xml:space="preserve">Natural Chunk Highlight</t>
  </si>
  <si>
    <t xml:space="preserve">Natural chunk highlighting for Kokoro TTS</t>
  </si>
  <si>
    <t xml:space="preserve">KOKORO-DEEPEN-3</t>
  </si>
  <si>
    <t xml:space="preserve">Voice Mixing Feasibility</t>
  </si>
  <si>
    <t xml:space="preserve">Voice mixing feasibility study</t>
  </si>
  <si>
    <t xml:space="preserve">TTS-REGISTRY-1</t>
  </si>
  <si>
    <t xml:space="preserve">Provider Capability Registry</t>
  </si>
  <si>
    <t xml:space="preserve">Foundation</t>
  </si>
  <si>
    <t xml:space="preserve">Provider capability truth in ttsProviderRegistry</t>
  </si>
  <si>
    <t xml:space="preserve">2026-05-12</t>
  </si>
  <si>
    <t xml:space="preserve">ROADMAP_ARCHIVE_2026-05-14.md</t>
  </si>
  <si>
    <t xml:space="preserve">TTS-NORMALIZE-1</t>
  </si>
  <si>
    <t xml:space="preserve">Segment Normalizer</t>
  </si>
  <si>
    <t xml:space="preserve">English-first spoken-text normalization</t>
  </si>
  <si>
    <t xml:space="preserve">2026-05-13</t>
  </si>
  <si>
    <t xml:space="preserve">TTS-CACHE-TIMING-1</t>
  </si>
  <si>
    <t xml:space="preserve">Cache Identity &amp; Timing Sidecars</t>
  </si>
  <si>
    <t xml:space="preserve">Schema-versioned v2 cache identities and atomic timing sidecars</t>
  </si>
  <si>
    <t xml:space="preserve">TTS-SYNC-1</t>
  </si>
  <si>
    <t xml:space="preserve">Highlight Sync Controller</t>
  </si>
  <si>
    <t xml:space="preserve">Sync &amp; Diagnostics</t>
  </si>
  <si>
    <t xml:space="preserve">Centralized narration highlight sync policy</t>
  </si>
  <si>
    <t xml:space="preserve">sprint/tts-sync-1-highlight-controller</t>
  </si>
  <si>
    <t xml:space="preserve">2026-05-15</t>
  </si>
  <si>
    <t xml:space="preserve">docs/Close-Outs/CloseOut.TTS-SYNC-1.2026-05-15.md</t>
  </si>
  <si>
    <t xml:space="preserve">TTS-DIAG-1</t>
  </si>
  <si>
    <t xml:space="preserve">Narration Diagnostics Bundle</t>
  </si>
  <si>
    <t xml:space="preserve">Provider-neutral diagnostics bundle</t>
  </si>
  <si>
    <t xml:space="preserve">sprint/tts-diag-1-diagnostics-bundle</t>
  </si>
  <si>
    <t xml:space="preserve">docs/Close-Outs/CloseOut.TTS-DIAG-1.2026-05-15.md</t>
  </si>
  <si>
    <t xml:space="preserve">ENGINE-DORMANCY-1</t>
  </si>
  <si>
    <t xml:space="preserve">Disable MOSS-Nano &amp; Pocket TTS</t>
  </si>
  <si>
    <t xml:space="preserve">Consolidation</t>
  </si>
  <si>
    <t xml:space="preserve">None</t>
  </si>
  <si>
    <t xml:space="preserve">Queued</t>
  </si>
  <si>
    <t xml:space="preserve">Disable dormant sidecar engines</t>
  </si>
  <si>
    <t xml:space="preserve">Dispatch-ready</t>
  </si>
  <si>
    <t xml:space="preserve">TTS-INTEGRATE-1</t>
  </si>
  <si>
    <t xml:space="preserve">Integrate Sync &amp; Diagnostics</t>
  </si>
  <si>
    <t xml:space="preserve">Merge sync and diagnostics branches to main</t>
  </si>
  <si>
    <t xml:space="preserve">Blocked until #1 lands</t>
  </si>
  <si>
    <t xml:space="preserve">TTS-CACHE-HARDEN-1</t>
  </si>
  <si>
    <t xml:space="preserve">Cache/Pipeline Hardening</t>
  </si>
  <si>
    <t xml:space="preserve">Full Spec</t>
  </si>
  <si>
    <t xml:space="preserve">Cache-hit timing parity, type harmonization, IPC validation</t>
  </si>
  <si>
    <t xml:space="preserve">Findings-driven: impl review A8 + lit review §4.6</t>
  </si>
  <si>
    <t xml:space="preserve">TTS-EVENT-SYNC-1</t>
  </si>
  <si>
    <t xml:space="preserve">Event-Driven Word Sync</t>
  </si>
  <si>
    <t xml:space="preserve">Precision Infrastructure</t>
  </si>
  <si>
    <t xml:space="preserve">Event-driven word sync from research</t>
  </si>
  <si>
    <t xml:space="preserve">Research: readest + RealtimeTTS + sioyek</t>
  </si>
  <si>
    <t xml:space="preserve">NORMALIZER-ENRICH-1</t>
  </si>
  <si>
    <t xml:space="preserve">Normalizer Gap Fill</t>
  </si>
  <si>
    <t xml:space="preserve">Fill normalizer gaps from abogen research</t>
  </si>
  <si>
    <t xml:space="preserve">Research: abogen</t>
  </si>
  <si>
    <t xml:space="preserve">TTS-RENDER-MAP-1</t>
  </si>
  <si>
    <t xml:space="preserve">Word Position Index</t>
  </si>
  <si>
    <t xml:space="preserve">Sioyek-inspired word position index</t>
  </si>
  <si>
    <t xml:space="preserve">Research: sioyek</t>
  </si>
  <si>
    <t xml:space="preserve">TTS-PIPELINE-1</t>
  </si>
  <si>
    <t xml:space="preserve">Pipeline Integration Tests</t>
  </si>
  <si>
    <t xml:space="preserve">Verification</t>
  </si>
  <si>
    <t xml:space="preserve">End-to-end pipeline integration tests</t>
  </si>
  <si>
    <t xml:space="preserve">TTS-ARCH-DOC-1</t>
  </si>
  <si>
    <t xml:space="preserve">Architecture Decisions Doc</t>
  </si>
  <si>
    <t xml:space="preserve">Governance</t>
  </si>
  <si>
    <t xml:space="preserve">All above</t>
  </si>
  <si>
    <t xml:space="preserve">Architecture decision records for TTS</t>
  </si>
  <si>
    <t xml:space="preserve">TEST-HARNESS-1</t>
  </si>
  <si>
    <t xml:space="preserve">Test Harness Stability</t>
  </si>
  <si>
    <t xml:space="preserve">Dissolved</t>
  </si>
  <si>
    <t xml:space="preserve">Test harness stability work</t>
  </si>
  <si>
    <t xml:space="preserve">Dissolved 2026-05-15 — Nano probes irrelevant</t>
  </si>
  <si>
    <t xml:space="preserve">TTS-CANARY-1</t>
  </si>
  <si>
    <t xml:space="preserve">Engine Readiness Probes</t>
  </si>
  <si>
    <t xml:space="preserve">Engine readiness probe system</t>
  </si>
  <si>
    <t xml:space="preserve">Dissolved 2026-05-15 — sidecar engines dormant</t>
  </si>
  <si>
    <t xml:space="preserve">TTS-REGISTRY-DISPATCH-1</t>
  </si>
  <si>
    <t xml:space="preserve">Registry-Driven Dispatch</t>
  </si>
  <si>
    <t xml:space="preserve">Registry-driven engine dispatch</t>
  </si>
  <si>
    <t xml:space="preserve">Dissolved 2026-05-15 — single active engine</t>
  </si>
  <si>
    <t xml:space="preserve">KOKORO-EXPORT-1</t>
  </si>
  <si>
    <t xml:space="preserve">Long-Form Audio Export</t>
  </si>
  <si>
    <t xml:space="preserve">Deferred</t>
  </si>
  <si>
    <t xml:space="preserve">Long-form audio export from Kokoro</t>
  </si>
  <si>
    <t xml:space="preserve">Post-conveyor, deferred until TTS Architecture completes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</si>
</sst>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trike val="true"/>
      <sz val="1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D6E4F0"/>
        <bgColor rgb="FFD9D9D9"/>
      </patternFill>
    </fill>
    <fill>
      <patternFill patternType="solid">
        <fgColor rgb="FF003366"/>
        <bgColor rgb="FF333399"/>
      </patternFill>
    </fill>
    <fill>
      <patternFill patternType="solid">
        <fgColor rgb="FFE2EFDA"/>
        <bgColor rgb="FFD6E4F0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6E4F0"/>
      </patternFill>
    </fill>
    <fill>
      <patternFill patternType="solid">
        <fgColor rgb="FFFCE4D6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6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7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003366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SprintCatalog" displayName="SprintCatalog" ref="A1:O21" headerRowCount="1" totalsRowCount="0" totalsRowShown="0">
  <autoFilter ref="A1:O21"/>
  <tableColumns count="15">
    <tableColumn id="1" name="Seq"/>
    <tableColumn id="2" name="Sprint Code"/>
    <tableColumn id="3" name="Title"/>
    <tableColumn id="4" name="Phase"/>
    <tableColumn id="5" name="Stage"/>
    <tableColumn id="6" name="LOE"/>
    <tableColumn id="7" name="Dependencies"/>
    <tableColumn id="8" name="Implementation Status"/>
    <tableColumn id="9" name="Written Status"/>
    <tableColumn id="10" name="Description"/>
    <tableColumn id="11" name="Branch"/>
    <tableColumn id="12" name="Date Started"/>
    <tableColumn id="13" name="Date Completed"/>
    <tableColumn id="14" name="Close-Out File"/>
    <tableColumn id="15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8" min="2" style="1" width="16"/>
  </cols>
  <sheetData>
    <row r="1" customFormat="false" ht="17.25" hidden="false" customHeight="true" outlineLevel="0" collapsed="false">
      <c r="B1" s="2" t="s">
        <v>0</v>
      </c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</row>
    <row r="3" customFormat="false" ht="15" hidden="false" customHeight="true" outlineLevel="0" collapsed="false">
      <c r="B3" s="4" t="n">
        <f aca="false">COUNTA(SprintCatalog[Sprint Code])</f>
        <v>20</v>
      </c>
      <c r="C3" s="4" t="n">
        <f aca="false">COUNTIF(SprintCatalog[Implementation Status],"Complete")</f>
        <v>8</v>
      </c>
      <c r="D3" s="4" t="n">
        <f aca="false">B3-C3</f>
        <v>12</v>
      </c>
      <c r="E3" s="5" t="n">
        <f aca="false">C3/B3</f>
        <v>0.4</v>
      </c>
      <c r="F3" s="4" t="n">
        <f aca="false">SUM(SprintCatalog[LOE])</f>
        <v>57</v>
      </c>
      <c r="G3" s="4" t="n">
        <f aca="false">SUMPRODUCT((SprintCatalog[Implementation Status]="Complete")*SprintCatalog[LOE])</f>
        <v>27</v>
      </c>
      <c r="H3" s="4" t="n">
        <f aca="false">F3-G3</f>
        <v>30</v>
      </c>
    </row>
  </sheetData>
  <mergeCells count="1">
    <mergeCell ref="B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2"/>
    <col collapsed="false" customWidth="true" hidden="false" outlineLevel="0" max="3" min="3" style="1" width="35"/>
    <col collapsed="false" customWidth="true" hidden="false" outlineLevel="0" max="4" min="4" style="1" width="18"/>
    <col collapsed="false" customWidth="true" hidden="false" outlineLevel="0" max="5" min="5" style="1" width="25"/>
    <col collapsed="false" customWidth="true" hidden="false" outlineLevel="0" max="6" min="6" style="1" width="5"/>
    <col collapsed="false" customWidth="true" hidden="false" outlineLevel="0" max="7" min="7" style="1" width="25"/>
    <col collapsed="false" customWidth="true" hidden="false" outlineLevel="0" max="8" min="8" style="1" width="20"/>
    <col collapsed="false" customWidth="true" hidden="false" outlineLevel="0" max="9" min="9" style="1" width="15"/>
    <col collapsed="false" customWidth="true" hidden="false" outlineLevel="0" max="10" min="10" style="1" width="50"/>
    <col collapsed="false" customWidth="true" hidden="false" outlineLevel="0" max="11" min="11" style="1" width="35"/>
    <col collapsed="false" customWidth="true" hidden="false" outlineLevel="0" max="13" min="12" style="1" width="14"/>
    <col collapsed="false" customWidth="true" hidden="false" outlineLevel="0" max="15" min="14" style="1" width="50"/>
  </cols>
  <sheetData>
    <row r="1" customFormat="false" ht="23.25" hidden="false" customHeight="true" outlineLevel="0" collapsed="false">
      <c r="A1" s="6" t="s">
        <v>8</v>
      </c>
      <c r="B1" s="6" t="s">
        <v>9</v>
      </c>
      <c r="C1" s="6" t="s">
        <v>10</v>
      </c>
      <c r="D1" s="6" t="s">
        <v>11</v>
      </c>
      <c r="E1" s="6" t="s">
        <v>12</v>
      </c>
      <c r="F1" s="6" t="s">
        <v>13</v>
      </c>
      <c r="G1" s="6" t="s">
        <v>14</v>
      </c>
      <c r="H1" s="6" t="s">
        <v>15</v>
      </c>
      <c r="I1" s="6" t="s">
        <v>16</v>
      </c>
      <c r="J1" s="6" t="s">
        <v>17</v>
      </c>
      <c r="K1" s="6" t="s">
        <v>18</v>
      </c>
      <c r="L1" s="6" t="s">
        <v>19</v>
      </c>
      <c r="M1" s="6" t="s">
        <v>20</v>
      </c>
      <c r="N1" s="6" t="s">
        <v>21</v>
      </c>
      <c r="O1" s="6" t="s">
        <v>22</v>
      </c>
    </row>
    <row r="2" customFormat="false" ht="15" hidden="false" customHeight="true" outlineLevel="0" collapsed="false">
      <c r="A2" s="7"/>
      <c r="B2" s="7" t="s">
        <v>23</v>
      </c>
      <c r="C2" s="7" t="s">
        <v>24</v>
      </c>
      <c r="D2" s="7" t="s">
        <v>25</v>
      </c>
      <c r="E2" s="7" t="s">
        <v>26</v>
      </c>
      <c r="F2" s="7" t="n">
        <v>3</v>
      </c>
      <c r="G2" s="7"/>
      <c r="H2" s="7" t="s">
        <v>27</v>
      </c>
      <c r="I2" s="7" t="s">
        <v>28</v>
      </c>
      <c r="J2" s="7" t="s">
        <v>29</v>
      </c>
      <c r="K2" s="7"/>
      <c r="L2" s="7"/>
      <c r="M2" s="7" t="s">
        <v>30</v>
      </c>
      <c r="N2" s="7"/>
      <c r="O2" s="7"/>
    </row>
    <row r="3" customFormat="false" ht="15" hidden="false" customHeight="true" outlineLevel="0" collapsed="false">
      <c r="A3" s="7"/>
      <c r="B3" s="7" t="s">
        <v>31</v>
      </c>
      <c r="C3" s="7" t="s">
        <v>32</v>
      </c>
      <c r="D3" s="7" t="s">
        <v>25</v>
      </c>
      <c r="E3" s="7" t="s">
        <v>26</v>
      </c>
      <c r="F3" s="7" t="n">
        <v>3</v>
      </c>
      <c r="G3" s="7"/>
      <c r="H3" s="7" t="s">
        <v>27</v>
      </c>
      <c r="I3" s="7" t="s">
        <v>28</v>
      </c>
      <c r="J3" s="7" t="s">
        <v>33</v>
      </c>
      <c r="K3" s="7"/>
      <c r="L3" s="7"/>
      <c r="M3" s="7" t="s">
        <v>30</v>
      </c>
      <c r="N3" s="7"/>
      <c r="O3" s="7"/>
    </row>
    <row r="4" customFormat="false" ht="15" hidden="false" customHeight="true" outlineLevel="0" collapsed="false">
      <c r="A4" s="7"/>
      <c r="B4" s="7" t="s">
        <v>34</v>
      </c>
      <c r="C4" s="7" t="s">
        <v>35</v>
      </c>
      <c r="D4" s="7" t="s">
        <v>25</v>
      </c>
      <c r="E4" s="7" t="s">
        <v>26</v>
      </c>
      <c r="F4" s="7" t="n">
        <v>1</v>
      </c>
      <c r="G4" s="7"/>
      <c r="H4" s="7" t="s">
        <v>27</v>
      </c>
      <c r="I4" s="7" t="s">
        <v>28</v>
      </c>
      <c r="J4" s="7" t="s">
        <v>36</v>
      </c>
      <c r="K4" s="7"/>
      <c r="L4" s="7"/>
      <c r="M4" s="7" t="s">
        <v>30</v>
      </c>
      <c r="N4" s="7"/>
      <c r="O4" s="7"/>
    </row>
    <row r="5" customFormat="false" ht="15" hidden="false" customHeight="true" outlineLevel="0" collapsed="false">
      <c r="A5" s="7"/>
      <c r="B5" s="7" t="s">
        <v>37</v>
      </c>
      <c r="C5" s="7" t="s">
        <v>38</v>
      </c>
      <c r="D5" s="7" t="s">
        <v>25</v>
      </c>
      <c r="E5" s="7" t="s">
        <v>39</v>
      </c>
      <c r="F5" s="7" t="n">
        <v>3</v>
      </c>
      <c r="G5" s="7"/>
      <c r="H5" s="7" t="s">
        <v>27</v>
      </c>
      <c r="I5" s="7" t="s">
        <v>28</v>
      </c>
      <c r="J5" s="7" t="s">
        <v>40</v>
      </c>
      <c r="K5" s="7"/>
      <c r="L5" s="7"/>
      <c r="M5" s="7" t="s">
        <v>41</v>
      </c>
      <c r="N5" s="7" t="s">
        <v>42</v>
      </c>
      <c r="O5" s="7"/>
    </row>
    <row r="6" customFormat="false" ht="15" hidden="false" customHeight="true" outlineLevel="0" collapsed="false">
      <c r="A6" s="7"/>
      <c r="B6" s="7" t="s">
        <v>43</v>
      </c>
      <c r="C6" s="7" t="s">
        <v>44</v>
      </c>
      <c r="D6" s="7" t="s">
        <v>25</v>
      </c>
      <c r="E6" s="7" t="s">
        <v>39</v>
      </c>
      <c r="F6" s="7" t="n">
        <v>3</v>
      </c>
      <c r="G6" s="7"/>
      <c r="H6" s="7" t="s">
        <v>27</v>
      </c>
      <c r="I6" s="7" t="s">
        <v>28</v>
      </c>
      <c r="J6" s="7" t="s">
        <v>45</v>
      </c>
      <c r="K6" s="7"/>
      <c r="L6" s="7"/>
      <c r="M6" s="7" t="s">
        <v>46</v>
      </c>
      <c r="N6" s="7" t="s">
        <v>42</v>
      </c>
      <c r="O6" s="7"/>
    </row>
    <row r="7" customFormat="false" ht="23.25" hidden="false" customHeight="true" outlineLevel="0" collapsed="false">
      <c r="A7" s="7"/>
      <c r="B7" s="7" t="s">
        <v>47</v>
      </c>
      <c r="C7" s="7" t="s">
        <v>48</v>
      </c>
      <c r="D7" s="7" t="s">
        <v>25</v>
      </c>
      <c r="E7" s="7" t="s">
        <v>39</v>
      </c>
      <c r="F7" s="7" t="n">
        <v>3</v>
      </c>
      <c r="G7" s="7"/>
      <c r="H7" s="7" t="s">
        <v>27</v>
      </c>
      <c r="I7" s="7" t="s">
        <v>28</v>
      </c>
      <c r="J7" s="7" t="s">
        <v>49</v>
      </c>
      <c r="K7" s="7"/>
      <c r="L7" s="7"/>
      <c r="M7" s="7" t="s">
        <v>46</v>
      </c>
      <c r="N7" s="7" t="s">
        <v>42</v>
      </c>
      <c r="O7" s="7"/>
    </row>
    <row r="8" customFormat="false" ht="15" hidden="false" customHeight="true" outlineLevel="0" collapsed="false">
      <c r="A8" s="7"/>
      <c r="B8" s="7" t="s">
        <v>50</v>
      </c>
      <c r="C8" s="7" t="s">
        <v>51</v>
      </c>
      <c r="D8" s="7" t="s">
        <v>25</v>
      </c>
      <c r="E8" s="7" t="s">
        <v>52</v>
      </c>
      <c r="F8" s="7" t="n">
        <v>8</v>
      </c>
      <c r="G8" s="7" t="s">
        <v>47</v>
      </c>
      <c r="H8" s="7" t="s">
        <v>27</v>
      </c>
      <c r="I8" s="7" t="s">
        <v>28</v>
      </c>
      <c r="J8" s="7" t="s">
        <v>53</v>
      </c>
      <c r="K8" s="7" t="s">
        <v>54</v>
      </c>
      <c r="L8" s="7"/>
      <c r="M8" s="7" t="s">
        <v>55</v>
      </c>
      <c r="N8" s="7" t="s">
        <v>56</v>
      </c>
      <c r="O8" s="7"/>
    </row>
    <row r="9" customFormat="false" ht="15" hidden="false" customHeight="true" outlineLevel="0" collapsed="false">
      <c r="A9" s="7"/>
      <c r="B9" s="7" t="s">
        <v>57</v>
      </c>
      <c r="C9" s="7" t="s">
        <v>58</v>
      </c>
      <c r="D9" s="7" t="s">
        <v>25</v>
      </c>
      <c r="E9" s="7" t="s">
        <v>52</v>
      </c>
      <c r="F9" s="7" t="n">
        <v>3</v>
      </c>
      <c r="G9" s="7" t="s">
        <v>50</v>
      </c>
      <c r="H9" s="7" t="s">
        <v>27</v>
      </c>
      <c r="I9" s="7" t="s">
        <v>28</v>
      </c>
      <c r="J9" s="7" t="s">
        <v>59</v>
      </c>
      <c r="K9" s="7" t="s">
        <v>60</v>
      </c>
      <c r="L9" s="7"/>
      <c r="M9" s="7" t="s">
        <v>55</v>
      </c>
      <c r="N9" s="7" t="s">
        <v>61</v>
      </c>
      <c r="O9" s="7"/>
    </row>
    <row r="10" customFormat="false" ht="15" hidden="false" customHeight="true" outlineLevel="0" collapsed="false">
      <c r="A10" s="8" t="n">
        <v>1</v>
      </c>
      <c r="B10" s="8" t="s">
        <v>62</v>
      </c>
      <c r="C10" s="8" t="s">
        <v>63</v>
      </c>
      <c r="D10" s="8" t="s">
        <v>25</v>
      </c>
      <c r="E10" s="8" t="s">
        <v>64</v>
      </c>
      <c r="F10" s="8" t="n">
        <v>1</v>
      </c>
      <c r="G10" s="8" t="s">
        <v>65</v>
      </c>
      <c r="H10" s="8" t="s">
        <v>66</v>
      </c>
      <c r="I10" s="8" t="s">
        <v>28</v>
      </c>
      <c r="J10" s="8" t="s">
        <v>67</v>
      </c>
      <c r="K10" s="8"/>
      <c r="L10" s="8"/>
      <c r="M10" s="8"/>
      <c r="N10" s="8"/>
      <c r="O10" s="8" t="s">
        <v>68</v>
      </c>
    </row>
    <row r="11" customFormat="false" ht="15" hidden="false" customHeight="true" outlineLevel="0" collapsed="false">
      <c r="A11" s="8" t="n">
        <v>2</v>
      </c>
      <c r="B11" s="8" t="s">
        <v>69</v>
      </c>
      <c r="C11" s="8" t="s">
        <v>70</v>
      </c>
      <c r="D11" s="8" t="s">
        <v>25</v>
      </c>
      <c r="E11" s="8" t="s">
        <v>64</v>
      </c>
      <c r="F11" s="8" t="n">
        <v>2</v>
      </c>
      <c r="G11" s="8" t="s">
        <v>62</v>
      </c>
      <c r="H11" s="8" t="s">
        <v>66</v>
      </c>
      <c r="I11" s="8" t="s">
        <v>28</v>
      </c>
      <c r="J11" s="8" t="s">
        <v>71</v>
      </c>
      <c r="K11" s="8"/>
      <c r="L11" s="8"/>
      <c r="M11" s="8"/>
      <c r="N11" s="8"/>
      <c r="O11" s="8" t="s">
        <v>72</v>
      </c>
    </row>
    <row r="12" customFormat="false" ht="15" hidden="false" customHeight="true" outlineLevel="0" collapsed="false">
      <c r="A12" s="1" t="n">
        <v>3</v>
      </c>
      <c r="B12" s="1" t="s">
        <v>73</v>
      </c>
      <c r="C12" s="1" t="s">
        <v>74</v>
      </c>
      <c r="D12" s="1" t="s">
        <v>25</v>
      </c>
      <c r="E12" s="1" t="s">
        <v>64</v>
      </c>
      <c r="F12" s="1" t="n">
        <v>2</v>
      </c>
      <c r="G12" s="1" t="s">
        <v>69</v>
      </c>
      <c r="H12" s="1" t="s">
        <v>66</v>
      </c>
      <c r="I12" s="1" t="s">
        <v>75</v>
      </c>
      <c r="J12" s="1" t="s">
        <v>76</v>
      </c>
      <c r="O12" s="1" t="s">
        <v>77</v>
      </c>
    </row>
    <row r="13" customFormat="false" ht="15" hidden="false" customHeight="true" outlineLevel="0" collapsed="false">
      <c r="A13" s="8" t="n">
        <v>4</v>
      </c>
      <c r="B13" s="8" t="s">
        <v>78</v>
      </c>
      <c r="C13" s="8" t="s">
        <v>79</v>
      </c>
      <c r="D13" s="8" t="s">
        <v>25</v>
      </c>
      <c r="E13" s="8" t="s">
        <v>80</v>
      </c>
      <c r="F13" s="8" t="n">
        <v>3</v>
      </c>
      <c r="G13" s="8" t="s">
        <v>73</v>
      </c>
      <c r="H13" s="8" t="s">
        <v>66</v>
      </c>
      <c r="I13" s="8" t="s">
        <v>28</v>
      </c>
      <c r="J13" s="8" t="s">
        <v>81</v>
      </c>
      <c r="K13" s="8"/>
      <c r="L13" s="8"/>
      <c r="M13" s="8"/>
      <c r="N13" s="8"/>
      <c r="O13" s="8" t="s">
        <v>82</v>
      </c>
    </row>
    <row r="14" customFormat="false" ht="15" hidden="false" customHeight="true" outlineLevel="0" collapsed="false">
      <c r="A14" s="8" t="n">
        <v>5</v>
      </c>
      <c r="B14" s="8" t="s">
        <v>83</v>
      </c>
      <c r="C14" s="8" t="s">
        <v>84</v>
      </c>
      <c r="D14" s="8" t="s">
        <v>25</v>
      </c>
      <c r="E14" s="8" t="s">
        <v>80</v>
      </c>
      <c r="F14" s="8" t="n">
        <v>3</v>
      </c>
      <c r="G14" s="8" t="s">
        <v>78</v>
      </c>
      <c r="H14" s="8" t="s">
        <v>66</v>
      </c>
      <c r="I14" s="8" t="s">
        <v>28</v>
      </c>
      <c r="J14" s="8" t="s">
        <v>85</v>
      </c>
      <c r="K14" s="8"/>
      <c r="L14" s="8"/>
      <c r="M14" s="8"/>
      <c r="N14" s="8"/>
      <c r="O14" s="8" t="s">
        <v>86</v>
      </c>
    </row>
    <row r="15" customFormat="false" ht="15" hidden="false" customHeight="true" outlineLevel="0" collapsed="false">
      <c r="A15" s="8" t="n">
        <v>6</v>
      </c>
      <c r="B15" s="8" t="s">
        <v>87</v>
      </c>
      <c r="C15" s="8" t="s">
        <v>88</v>
      </c>
      <c r="D15" s="8" t="s">
        <v>25</v>
      </c>
      <c r="E15" s="8" t="s">
        <v>80</v>
      </c>
      <c r="F15" s="8" t="n">
        <v>3</v>
      </c>
      <c r="G15" s="8" t="s">
        <v>83</v>
      </c>
      <c r="H15" s="8" t="s">
        <v>66</v>
      </c>
      <c r="I15" s="8" t="s">
        <v>28</v>
      </c>
      <c r="J15" s="8" t="s">
        <v>89</v>
      </c>
      <c r="K15" s="8"/>
      <c r="L15" s="8"/>
      <c r="M15" s="8"/>
      <c r="N15" s="8"/>
      <c r="O15" s="8" t="s">
        <v>90</v>
      </c>
    </row>
    <row r="16" customFormat="false" ht="15" hidden="false" customHeight="true" outlineLevel="0" collapsed="false">
      <c r="A16" s="8" t="n">
        <v>7</v>
      </c>
      <c r="B16" s="8" t="s">
        <v>91</v>
      </c>
      <c r="C16" s="8" t="s">
        <v>92</v>
      </c>
      <c r="D16" s="8" t="s">
        <v>25</v>
      </c>
      <c r="E16" s="8" t="s">
        <v>93</v>
      </c>
      <c r="F16" s="8" t="n">
        <v>1</v>
      </c>
      <c r="G16" s="8" t="s">
        <v>87</v>
      </c>
      <c r="H16" s="8" t="s">
        <v>66</v>
      </c>
      <c r="I16" s="8" t="s">
        <v>28</v>
      </c>
      <c r="J16" s="8" t="s">
        <v>94</v>
      </c>
      <c r="K16" s="8"/>
      <c r="L16" s="8"/>
      <c r="M16" s="8"/>
      <c r="N16" s="8"/>
      <c r="O16" s="8"/>
    </row>
    <row r="17" customFormat="false" ht="15" hidden="false" customHeight="true" outlineLevel="0" collapsed="false">
      <c r="A17" s="8" t="n">
        <v>8</v>
      </c>
      <c r="B17" s="8" t="s">
        <v>95</v>
      </c>
      <c r="C17" s="8" t="s">
        <v>96</v>
      </c>
      <c r="D17" s="8" t="s">
        <v>25</v>
      </c>
      <c r="E17" s="8" t="s">
        <v>97</v>
      </c>
      <c r="F17" s="8" t="n">
        <v>1</v>
      </c>
      <c r="G17" s="8" t="s">
        <v>98</v>
      </c>
      <c r="H17" s="8" t="s">
        <v>66</v>
      </c>
      <c r="I17" s="8" t="s">
        <v>28</v>
      </c>
      <c r="J17" s="8" t="s">
        <v>99</v>
      </c>
      <c r="K17" s="8"/>
      <c r="L17" s="8"/>
      <c r="M17" s="8"/>
      <c r="N17" s="8"/>
      <c r="O17" s="8"/>
    </row>
    <row r="18" customFormat="false" ht="15" hidden="false" customHeight="true" outlineLevel="0" collapsed="false">
      <c r="A18" s="9"/>
      <c r="B18" s="10" t="s">
        <v>100</v>
      </c>
      <c r="C18" s="9" t="s">
        <v>101</v>
      </c>
      <c r="D18" s="9" t="s">
        <v>25</v>
      </c>
      <c r="E18" s="9"/>
      <c r="F18" s="9" t="n">
        <v>2</v>
      </c>
      <c r="G18" s="9"/>
      <c r="H18" s="9" t="s">
        <v>102</v>
      </c>
      <c r="I18" s="9"/>
      <c r="J18" s="9" t="s">
        <v>103</v>
      </c>
      <c r="K18" s="9"/>
      <c r="L18" s="9"/>
      <c r="M18" s="9"/>
      <c r="N18" s="9"/>
      <c r="O18" s="9" t="s">
        <v>104</v>
      </c>
    </row>
    <row r="19" customFormat="false" ht="23.25" hidden="false" customHeight="true" outlineLevel="0" collapsed="false">
      <c r="A19" s="9"/>
      <c r="B19" s="10" t="s">
        <v>105</v>
      </c>
      <c r="C19" s="9" t="s">
        <v>106</v>
      </c>
      <c r="D19" s="9" t="s">
        <v>25</v>
      </c>
      <c r="E19" s="9"/>
      <c r="F19" s="9" t="n">
        <v>1</v>
      </c>
      <c r="G19" s="9"/>
      <c r="H19" s="9" t="s">
        <v>102</v>
      </c>
      <c r="I19" s="9"/>
      <c r="J19" s="9" t="s">
        <v>107</v>
      </c>
      <c r="K19" s="9"/>
      <c r="L19" s="9"/>
      <c r="M19" s="9"/>
      <c r="N19" s="9"/>
      <c r="O19" s="9" t="s">
        <v>108</v>
      </c>
    </row>
    <row r="20" customFormat="false" ht="15" hidden="false" customHeight="true" outlineLevel="0" collapsed="false">
      <c r="A20" s="9"/>
      <c r="B20" s="10" t="s">
        <v>109</v>
      </c>
      <c r="C20" s="9" t="s">
        <v>110</v>
      </c>
      <c r="D20" s="9" t="s">
        <v>25</v>
      </c>
      <c r="E20" s="9"/>
      <c r="F20" s="9" t="n">
        <v>3</v>
      </c>
      <c r="G20" s="9"/>
      <c r="H20" s="9" t="s">
        <v>102</v>
      </c>
      <c r="I20" s="9"/>
      <c r="J20" s="9" t="s">
        <v>111</v>
      </c>
      <c r="K20" s="9"/>
      <c r="L20" s="9"/>
      <c r="M20" s="9"/>
      <c r="N20" s="9"/>
      <c r="O20" s="9" t="s">
        <v>112</v>
      </c>
    </row>
    <row r="21" customFormat="false" ht="15" hidden="false" customHeight="true" outlineLevel="0" collapsed="false">
      <c r="A21" s="11"/>
      <c r="B21" s="11" t="s">
        <v>113</v>
      </c>
      <c r="C21" s="11" t="s">
        <v>114</v>
      </c>
      <c r="D21" s="11" t="s">
        <v>25</v>
      </c>
      <c r="E21" s="11"/>
      <c r="F21" s="11" t="n">
        <v>8</v>
      </c>
      <c r="G21" s="11"/>
      <c r="H21" s="11" t="s">
        <v>115</v>
      </c>
      <c r="I21" s="11"/>
      <c r="J21" s="11" t="s">
        <v>116</v>
      </c>
      <c r="K21" s="11"/>
      <c r="L21" s="11"/>
      <c r="M21" s="11"/>
      <c r="N21" s="11"/>
      <c r="O21" s="11" t="s">
        <v>117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2026-05-15T18:19:24Z</dcterms:created>
  <dc:creator>openpyxl</dc:creator>
  <dc:description/>
  <dc:language>en-US</dc:language>
  <cp:lastModifiedBy/>
  <dcterms:modified xsi:type="dcterms:W3CDTF">2026-05-15T20:00:07Z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